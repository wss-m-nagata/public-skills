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Override PartName="/xl/drawings/restoredDrawing1.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38620" windowHeight="21220" tabRatio="445" firstSheet="0" activeTab="0" autoFilterDateGrouping="1"/>
  </bookViews>
  <sheets>
    <sheet name="表紙" sheetId="1" state="visible" r:id="rId1"/>
    <sheet name="変更履歴" sheetId="2" state="visible" r:id="rId2"/>
    <sheet name="【テストターゲット名】_クラス単体" sheetId="3" state="visible" r:id="rId3"/>
    <sheet name="【リクエストID】_リクエスト単体" sheetId="4" state="visible" r:id="rId4"/>
  </sheets>
  <definedNames>
    <definedName name="_xlnm.Print_Area" localSheetId="0">'表紙'!$A$1:$S$39</definedName>
    <definedName name="_xlnm.Print_Titles" localSheetId="1">'変更履歴'!$1:$4</definedName>
    <definedName name="_xlnm.Print_Area" localSheetId="1">'変更履歴'!$A$1:$AI$39</definedName>
    <definedName name="_xlnm._FilterDatabase" localSheetId="2" hidden="1">'【テストターゲット名】_クラス単体'!$A$10:$Q$10</definedName>
    <definedName name="_xlnm.Print_Titles" localSheetId="2">'【テストターゲット名】_クラス単体'!$1:$10</definedName>
    <definedName name="_xlnm.Print_Area" localSheetId="2">'【テストターゲット名】_クラス単体'!$A$1:$Q$295</definedName>
    <definedName name="_xlnm._FilterDatabase" localSheetId="3" hidden="1">'【リクエストID】_リクエスト単体'!$A$10:$R$10</definedName>
    <definedName name="_xlnm.Print_Titles" localSheetId="3">'【リクエストID】_リクエスト単体'!$1:$10</definedName>
    <definedName name="_xlnm.Print_Area" localSheetId="3">'【リクエストID】_リクエスト単体'!$A$1:$R$314</definedName>
  </definedNames>
  <calcPr calcId="191029" fullCalcOnLoad="1"/>
</workbook>
</file>

<file path=xl/styles.xml><?xml version="1.0" encoding="utf-8"?>
<styleSheet xmlns="http://schemas.openxmlformats.org/spreadsheetml/2006/main">
  <numFmts count="3">
    <numFmt numFmtId="164" formatCode="&quot;第&quot;0.00&quot;版&quot;"/>
    <numFmt numFmtId="165" formatCode="yyyy/m/d;@"/>
    <numFmt numFmtId="166" formatCode="yyyy/mm/dd"/>
  </numFmts>
  <fonts count="27">
    <font>
      <name val="VL Pゴシック"/>
      <family val="3"/>
      <sz val="10"/>
    </font>
    <font>
      <name val="ＭＳ Ｐゴシック"/>
      <charset val="128"/>
      <family val="2"/>
      <color theme="1"/>
      <sz val="11"/>
      <scheme val="minor"/>
    </font>
    <font>
      <name val="ＭＳ Ｐゴシック"/>
      <charset val="128"/>
      <family val="3"/>
      <sz val="6"/>
    </font>
    <font>
      <name val="ＭＳ Ｐゴシック"/>
      <charset val="128"/>
      <family val="3"/>
      <sz val="11"/>
    </font>
    <font>
      <name val="ＭＳ 明朝"/>
      <charset val="128"/>
      <family val="1"/>
      <sz val="10"/>
    </font>
    <font>
      <name val="ＭＳ 明朝"/>
      <charset val="128"/>
      <family val="1"/>
      <sz val="9"/>
    </font>
    <font>
      <name val="ＭＳ 明朝"/>
      <charset val="128"/>
      <family val="1"/>
      <sz val="11"/>
    </font>
    <font>
      <name val="ＭＳ ゴシック"/>
      <charset val="128"/>
      <family val="3"/>
      <sz val="10"/>
    </font>
    <font>
      <name val="ＭＳ 明朝"/>
      <charset val="128"/>
      <family val="1"/>
      <sz val="13"/>
    </font>
    <font>
      <name val="ＭＳ Ｐゴシック"/>
      <charset val="128"/>
      <family val="3"/>
      <sz val="18"/>
    </font>
    <font>
      <name val="ＭＳ 明朝"/>
      <charset val="128"/>
      <family val="1"/>
      <sz val="16"/>
    </font>
    <font>
      <name val="ＭＳ 明朝"/>
      <charset val="128"/>
      <family val="1"/>
      <sz val="12"/>
    </font>
    <font>
      <name val="ＭＳ 明朝"/>
      <charset val="128"/>
      <family val="1"/>
      <sz val="14"/>
    </font>
    <font>
      <name val="ＭＳ 明朝"/>
      <charset val="128"/>
      <family val="1"/>
      <sz val="14"/>
      <u val="single"/>
    </font>
    <font>
      <name val="ＭＳ 明朝"/>
      <charset val="128"/>
      <family val="1"/>
      <b val="1"/>
      <sz val="20"/>
    </font>
    <font>
      <name val="ＭＳ 明朝"/>
      <charset val="128"/>
      <family val="1"/>
      <sz val="18"/>
    </font>
    <font>
      <name val="ＭＳ 明朝"/>
      <charset val="128"/>
      <family val="1"/>
      <b val="1"/>
      <sz val="9"/>
    </font>
    <font>
      <name val="ＭＳ 明朝"/>
      <charset val="128"/>
      <family val="1"/>
      <color rgb="FF000000"/>
      <sz val="9"/>
    </font>
    <font>
      <name val="メイリオ"/>
      <charset val="128"/>
      <family val="2"/>
      <color theme="1"/>
      <sz val="9"/>
    </font>
    <font>
      <name val="メイリオ"/>
      <charset val="128"/>
      <family val="2"/>
      <sz val="6"/>
    </font>
    <font>
      <name val="ＭＳ 明朝"/>
      <charset val="128"/>
      <family val="1"/>
      <color theme="0" tint="-0.1499984740745262"/>
      <sz val="9"/>
    </font>
    <font>
      <name val="ＭＳ Ｐゴシック"/>
      <charset val="128"/>
      <family val="3"/>
      <sz val="10"/>
    </font>
    <font>
      <name val="ＭＳ Ｐゴシック"/>
      <charset val="128"/>
      <family val="3"/>
      <color indexed="12"/>
      <sz val="11"/>
      <u val="single"/>
    </font>
    <font>
      <name val="MS P ゴシック"/>
      <charset val="128"/>
      <family val="3"/>
      <color indexed="81"/>
      <sz val="9"/>
    </font>
    <font>
      <name val="Calibri"/>
      <family val="2"/>
      <color theme="1"/>
      <sz val="12"/>
      <scheme val="minor"/>
    </font>
    <font>
      <name val="ＭＳ 明朝"/>
      <charset val="128"/>
      <family val="1"/>
      <b val="1"/>
      <sz val="18"/>
    </font>
    <font>
      <name val="ＭＳ 明朝"/>
      <charset val="128"/>
      <family val="1"/>
      <color rgb="FF808080"/>
      <sz val="9"/>
    </font>
  </fonts>
  <fills count="5">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1" tint="0.499984740745262"/>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0"/>
      </bottom>
      <diagonal/>
    </border>
    <border>
      <left style="thin">
        <color indexed="64"/>
      </left>
      <right style="thin">
        <color indexed="64"/>
      </right>
      <top style="thin">
        <color indexed="64"/>
      </top>
      <bottom style="thin">
        <color indexed="0"/>
      </bottom>
      <diagonal/>
    </border>
    <border>
      <left style="thin">
        <color indexed="64"/>
      </left>
      <right style="thin">
        <color indexed="64"/>
      </right>
      <top style="thin">
        <color indexed="0"/>
      </top>
      <bottom/>
      <diagonal/>
    </border>
    <border>
      <left style="thin">
        <color indexed="64"/>
      </left>
      <right style="thin">
        <color indexed="64"/>
      </right>
      <top style="thin">
        <color indexed="0"/>
      </top>
      <bottom style="thin">
        <color indexed="64"/>
      </bottom>
      <diagonal/>
    </border>
    <border>
      <left style="thin">
        <color indexed="0"/>
      </left>
      <right style="thin">
        <color indexed="0"/>
      </right>
      <top style="thin">
        <color indexed="64"/>
      </top>
      <bottom style="thin">
        <color indexed="0"/>
      </bottom>
      <diagonal/>
    </border>
    <border>
      <left style="thin">
        <color indexed="0"/>
      </left>
      <right style="thin">
        <color indexed="0"/>
      </right>
      <top style="thin">
        <color indexed="0"/>
      </top>
      <bottom style="thin">
        <color indexed="0"/>
      </bottom>
      <diagonal/>
    </border>
    <border>
      <left style="thin">
        <color indexed="0"/>
      </left>
      <right style="thin">
        <color indexed="64"/>
      </right>
      <top style="thin">
        <color indexed="0"/>
      </top>
      <bottom style="thin">
        <color indexed="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0"/>
      </top>
      <bottom style="thin">
        <color indexed="0"/>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double">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style="thin">
        <color indexed="64"/>
      </right>
      <top style="hair">
        <color indexed="64"/>
      </top>
      <bottom/>
      <diagonal/>
    </border>
    <border>
      <left style="thin">
        <color indexed="0"/>
      </left>
      <right style="thin">
        <color indexed="64"/>
      </right>
      <top style="thin">
        <color indexed="64"/>
      </top>
      <bottom style="thin">
        <color indexed="0"/>
      </bottom>
      <diagonal/>
    </border>
    <border>
      <left style="thin">
        <color indexed="0"/>
      </left>
      <right style="thin">
        <color indexed="0"/>
      </right>
      <top style="thin">
        <color indexed="0"/>
      </top>
      <bottom style="thin">
        <color indexed="64"/>
      </bottom>
      <diagonal/>
    </border>
    <border>
      <left style="thin">
        <color indexed="0"/>
      </left>
      <right style="thin">
        <color indexed="64"/>
      </right>
      <top style="thin">
        <color indexed="0"/>
      </top>
      <bottom style="thin">
        <color indexed="64"/>
      </bottom>
      <diagonal/>
    </border>
    <border>
      <left style="thin">
        <color indexed="64"/>
      </left>
      <right style="thin">
        <color indexed="0"/>
      </right>
      <top/>
      <bottom style="thin">
        <color indexed="0"/>
      </bottom>
      <diagonal/>
    </border>
    <border>
      <left style="thin">
        <color indexed="0"/>
      </left>
      <right style="thin">
        <color indexed="0"/>
      </right>
      <top/>
      <bottom style="thin">
        <color indexed="0"/>
      </bottom>
      <diagonal/>
    </border>
    <border>
      <left style="thin">
        <color indexed="0"/>
      </left>
      <right style="thin">
        <color indexed="64"/>
      </right>
      <top/>
      <bottom style="thin">
        <color indexed="0"/>
      </bottom>
      <diagonal/>
    </border>
    <border>
      <left style="thin">
        <color indexed="64"/>
      </left>
      <right/>
      <top/>
      <bottom style="thin">
        <color indexed="0"/>
      </bottom>
      <diagonal/>
    </border>
    <border>
      <left style="thin">
        <color indexed="64"/>
      </left>
      <right style="thin">
        <color indexed="0"/>
      </right>
      <top style="thin">
        <color indexed="0"/>
      </top>
      <bottom style="thin">
        <color indexed="0"/>
      </bottom>
      <diagonal/>
    </border>
    <border>
      <left style="thin">
        <color indexed="64"/>
      </left>
      <right/>
      <top style="thin">
        <color indexed="0"/>
      </top>
      <bottom style="thin">
        <color indexed="0"/>
      </bottom>
      <diagonal/>
    </border>
    <border>
      <left style="thin">
        <color indexed="64"/>
      </left>
      <right style="thin">
        <color indexed="64"/>
      </right>
      <top style="double">
        <color indexed="64"/>
      </top>
      <bottom style="thin">
        <color indexed="64"/>
      </bottom>
      <diagonal/>
    </border>
    <border>
      <left/>
      <right/>
      <top style="double">
        <color indexed="64"/>
      </top>
      <bottom/>
      <diagonal/>
    </border>
    <border>
      <left/>
      <right style="thin">
        <color indexed="64"/>
      </right>
      <top style="double">
        <color indexed="64"/>
      </top>
      <bottom/>
      <diagonal/>
    </border>
  </borders>
  <cellStyleXfs count="10">
    <xf numFmtId="0" fontId="0" fillId="0" borderId="0"/>
    <xf numFmtId="0" fontId="5" fillId="0" borderId="0"/>
    <xf numFmtId="0" fontId="3" fillId="0" borderId="0"/>
    <xf numFmtId="0" fontId="5" fillId="0" borderId="0"/>
    <xf numFmtId="0" fontId="7" fillId="0" borderId="0"/>
    <xf numFmtId="0" fontId="5" fillId="0" borderId="0"/>
    <xf numFmtId="9" fontId="5" fillId="0" borderId="0"/>
    <xf numFmtId="0" fontId="5" fillId="0" borderId="0"/>
    <xf numFmtId="0" fontId="18" fillId="0" borderId="0" applyAlignment="1">
      <alignment vertical="center"/>
    </xf>
    <xf numFmtId="0" fontId="24" fillId="0" borderId="0"/>
  </cellStyleXfs>
  <cellXfs count="290">
    <xf numFmtId="0" fontId="0" fillId="0" borderId="0" pivotButton="0" quotePrefix="0" xfId="0"/>
    <xf numFmtId="0" fontId="6" fillId="0" borderId="0" pivotButton="0" quotePrefix="0" xfId="3"/>
    <xf numFmtId="0" fontId="8" fillId="0" borderId="0" applyAlignment="1" pivotButton="0" quotePrefix="0" xfId="4">
      <alignment horizontal="center"/>
    </xf>
    <xf numFmtId="0" fontId="10" fillId="0" borderId="0" pivotButton="0" quotePrefix="0" xfId="3"/>
    <xf numFmtId="0" fontId="11" fillId="0" borderId="0" applyAlignment="1" pivotButton="0" quotePrefix="0" xfId="3">
      <alignment horizontal="center"/>
    </xf>
    <xf numFmtId="31" fontId="10" fillId="0" borderId="0" pivotButton="0" quotePrefix="0" xfId="3"/>
    <xf numFmtId="0" fontId="10" fillId="0" borderId="0" applyAlignment="1" pivotButton="0" quotePrefix="0" xfId="3">
      <alignment horizontal="center"/>
    </xf>
    <xf numFmtId="164" fontId="12" fillId="0" borderId="0" applyAlignment="1" pivotButton="0" quotePrefix="1" xfId="5">
      <alignment horizontal="center"/>
    </xf>
    <xf numFmtId="0" fontId="13" fillId="0" borderId="0" pivotButton="0" quotePrefix="0" xfId="3"/>
    <xf numFmtId="0" fontId="14" fillId="0" borderId="0" pivotButton="0" quotePrefix="0" xfId="3"/>
    <xf numFmtId="0" fontId="15" fillId="0" borderId="0" pivotButton="0" quotePrefix="0" xfId="3"/>
    <xf numFmtId="0" fontId="5" fillId="0" borderId="0" pivotButton="0" quotePrefix="0" xfId="3"/>
    <xf numFmtId="0" fontId="11" fillId="0" borderId="0" pivotButton="0" quotePrefix="0" xfId="3"/>
    <xf numFmtId="0" fontId="5" fillId="0" borderId="0" applyAlignment="1" pivotButton="0" quotePrefix="0" xfId="5">
      <alignment horizontal="left" vertical="center"/>
    </xf>
    <xf numFmtId="0" fontId="5" fillId="0" borderId="1" applyAlignment="1" pivotButton="0" quotePrefix="0" xfId="3">
      <alignment horizontal="right" vertical="top"/>
    </xf>
    <xf numFmtId="0" fontId="5" fillId="0" borderId="4" applyAlignment="1" pivotButton="0" quotePrefix="0" xfId="3">
      <alignment horizontal="right" vertical="top"/>
    </xf>
    <xf numFmtId="0" fontId="5" fillId="0" borderId="24" applyAlignment="1" pivotButton="0" quotePrefix="0" xfId="3">
      <alignment horizontal="center" vertical="center"/>
    </xf>
    <xf numFmtId="0" fontId="5" fillId="0" borderId="0" applyAlignment="1" pivotButton="0" quotePrefix="0" xfId="5">
      <alignment vertical="top"/>
    </xf>
    <xf numFmtId="0" fontId="5" fillId="0" borderId="0" applyAlignment="1" pivotButton="0" quotePrefix="0" xfId="5">
      <alignment horizontal="center" vertical="center"/>
    </xf>
    <xf numFmtId="0" fontId="5" fillId="0" borderId="0" applyAlignment="1" pivotButton="0" quotePrefix="0" xfId="5">
      <alignment vertical="center"/>
    </xf>
    <xf numFmtId="0" fontId="5" fillId="0" borderId="0" applyAlignment="1" pivotButton="0" quotePrefix="1" xfId="5">
      <alignment vertical="center"/>
    </xf>
    <xf numFmtId="0" fontId="12" fillId="0" borderId="0" pivotButton="0" quotePrefix="0" xfId="5"/>
    <xf numFmtId="0" fontId="5" fillId="0" borderId="0" applyAlignment="1" pivotButton="0" quotePrefix="0" xfId="5">
      <alignment vertical="top"/>
    </xf>
    <xf numFmtId="0" fontId="5" fillId="0" borderId="0" pivotButton="0" quotePrefix="0" xfId="5"/>
    <xf numFmtId="0" fontId="5" fillId="0" borderId="0" applyAlignment="1" pivotButton="0" quotePrefix="0" xfId="5">
      <alignment horizontal="right"/>
    </xf>
    <xf numFmtId="0" fontId="5" fillId="0" borderId="0" pivotButton="0" quotePrefix="0" xfId="2"/>
    <xf numFmtId="49" fontId="5" fillId="0" borderId="0" pivotButton="0" quotePrefix="0" xfId="2"/>
    <xf numFmtId="0" fontId="5" fillId="0" borderId="2" pivotButton="0" quotePrefix="0" xfId="2"/>
    <xf numFmtId="49" fontId="5" fillId="0" borderId="2" pivotButton="0" quotePrefix="0" xfId="2"/>
    <xf numFmtId="0" fontId="5" fillId="0" borderId="0" applyAlignment="1" pivotButton="0" quotePrefix="0" xfId="2">
      <alignment vertical="center"/>
    </xf>
    <xf numFmtId="0" fontId="5" fillId="0" borderId="1" applyAlignment="1" pivotButton="0" quotePrefix="0" xfId="2">
      <alignment vertical="top" wrapText="1"/>
    </xf>
    <xf numFmtId="0" fontId="5" fillId="2" borderId="3" applyAlignment="1" pivotButton="0" quotePrefix="0" xfId="0">
      <alignment vertical="top"/>
    </xf>
    <xf numFmtId="0" fontId="5" fillId="2" borderId="3" applyAlignment="1" pivotButton="0" quotePrefix="0" xfId="0">
      <alignment vertical="center"/>
    </xf>
    <xf numFmtId="0" fontId="5" fillId="2" borderId="3" applyAlignment="1" pivotButton="0" quotePrefix="0" xfId="2">
      <alignment vertical="center" wrapText="1"/>
    </xf>
    <xf numFmtId="0" fontId="5" fillId="2" borderId="3" applyAlignment="1" pivotButton="0" quotePrefix="0" xfId="2">
      <alignment vertical="top" wrapText="1"/>
    </xf>
    <xf numFmtId="49" fontId="5" fillId="2" borderId="3" applyAlignment="1" pivotButton="0" quotePrefix="0" xfId="2">
      <alignment vertical="center"/>
    </xf>
    <xf numFmtId="0" fontId="5" fillId="2" borderId="3" applyAlignment="1" pivotButton="0" quotePrefix="0" xfId="2">
      <alignment vertical="center"/>
    </xf>
    <xf numFmtId="0" fontId="5" fillId="2" borderId="23" applyAlignment="1" pivotButton="0" quotePrefix="0" xfId="2">
      <alignment vertical="center"/>
    </xf>
    <xf numFmtId="0" fontId="5" fillId="0" borderId="1" applyAlignment="1" pivotButton="0" quotePrefix="0" xfId="2">
      <alignment vertical="top" wrapText="1"/>
    </xf>
    <xf numFmtId="0" fontId="5" fillId="0" borderId="21" applyAlignment="1" pivotButton="0" quotePrefix="0" xfId="8">
      <alignment horizontal="left" vertical="top" wrapText="1"/>
    </xf>
    <xf numFmtId="0" fontId="5" fillId="0" borderId="3" applyAlignment="1" pivotButton="0" quotePrefix="0" xfId="8">
      <alignment horizontal="left" vertical="top" wrapText="1"/>
    </xf>
    <xf numFmtId="0" fontId="5" fillId="0" borderId="5" applyAlignment="1" pivotButton="0" quotePrefix="0" xfId="8">
      <alignment horizontal="left" vertical="top" wrapText="1"/>
    </xf>
    <xf numFmtId="0" fontId="5" fillId="0" borderId="1" applyAlignment="1" pivotButton="0" quotePrefix="0" xfId="8">
      <alignment horizontal="left" vertical="top" wrapText="1"/>
    </xf>
    <xf numFmtId="0" fontId="17" fillId="0" borderId="1" applyAlignment="1" pivotButton="0" quotePrefix="0" xfId="1">
      <alignment horizontal="left" vertical="top" wrapText="1" shrinkToFit="1"/>
    </xf>
    <xf numFmtId="49" fontId="5" fillId="0" borderId="1" applyAlignment="1" pivotButton="0" quotePrefix="0" xfId="2">
      <alignment horizontal="left" vertical="top" wrapText="1"/>
    </xf>
    <xf numFmtId="165" fontId="5" fillId="0" borderId="1" applyAlignment="1" pivotButton="0" quotePrefix="0" xfId="2">
      <alignment horizontal="left" vertical="top" wrapText="1"/>
    </xf>
    <xf numFmtId="14" fontId="5" fillId="0" borderId="1" applyAlignment="1" pivotButton="0" quotePrefix="0" xfId="2">
      <alignment horizontal="left" vertical="top" wrapText="1"/>
    </xf>
    <xf numFmtId="0" fontId="5" fillId="0" borderId="1" applyAlignment="1" pivotButton="0" quotePrefix="0" xfId="2">
      <alignment horizontal="left" vertical="top" wrapText="1"/>
    </xf>
    <xf numFmtId="0" fontId="20" fillId="0" borderId="16" applyAlignment="1" pivotButton="0" quotePrefix="0" xfId="8">
      <alignment horizontal="left" vertical="top" wrapText="1"/>
    </xf>
    <xf numFmtId="0" fontId="5" fillId="0" borderId="27" applyAlignment="1" pivotButton="0" quotePrefix="0" xfId="8">
      <alignment horizontal="left" vertical="top" wrapText="1"/>
    </xf>
    <xf numFmtId="0" fontId="5" fillId="0" borderId="4" applyAlignment="1" pivotButton="0" quotePrefix="0" xfId="8">
      <alignment horizontal="left" vertical="top" wrapText="1"/>
    </xf>
    <xf numFmtId="0" fontId="17" fillId="0" borderId="1" applyAlignment="1" pivotButton="0" quotePrefix="0" xfId="1">
      <alignment horizontal="left" vertical="top" wrapText="1"/>
    </xf>
    <xf numFmtId="0" fontId="5" fillId="0" borderId="28" applyAlignment="1" pivotButton="0" quotePrefix="0" xfId="8">
      <alignment horizontal="left" vertical="top" wrapText="1"/>
    </xf>
    <xf numFmtId="0" fontId="5" fillId="0" borderId="23" applyAlignment="1" pivotButton="0" quotePrefix="0" xfId="8">
      <alignment horizontal="left" vertical="top" wrapText="1"/>
    </xf>
    <xf numFmtId="0" fontId="20" fillId="0" borderId="5" applyAlignment="1" pivotButton="0" quotePrefix="0" xfId="8">
      <alignment horizontal="left" vertical="top" wrapText="1"/>
    </xf>
    <xf numFmtId="0" fontId="17" fillId="0" borderId="1" applyAlignment="1" pivotButton="0" quotePrefix="0" xfId="0">
      <alignment horizontal="left" vertical="top" wrapText="1" shrinkToFit="1"/>
    </xf>
    <xf numFmtId="0" fontId="5" fillId="0" borderId="15" applyAlignment="1" pivotButton="0" quotePrefix="0" xfId="8">
      <alignment horizontal="left" vertical="top" wrapText="1"/>
    </xf>
    <xf numFmtId="0" fontId="20" fillId="0" borderId="25" applyAlignment="1" pivotButton="0" quotePrefix="0" xfId="8">
      <alignment horizontal="left" vertical="top" wrapText="1"/>
    </xf>
    <xf numFmtId="0" fontId="5" fillId="0" borderId="16" applyAlignment="1" pivotButton="0" quotePrefix="0" xfId="8">
      <alignment horizontal="left" vertical="top" wrapText="1"/>
    </xf>
    <xf numFmtId="0" fontId="5" fillId="0" borderId="29" applyAlignment="1" pivotButton="0" quotePrefix="0" xfId="8">
      <alignment horizontal="left" vertical="top" wrapText="1"/>
    </xf>
    <xf numFmtId="0" fontId="17" fillId="0" borderId="1" applyAlignment="1" pivotButton="0" quotePrefix="0" xfId="0">
      <alignment horizontal="left" vertical="top" wrapText="1"/>
    </xf>
    <xf numFmtId="0" fontId="17" fillId="0" borderId="3" applyAlignment="1" pivotButton="0" quotePrefix="0" xfId="0">
      <alignment horizontal="left" vertical="top" wrapText="1"/>
    </xf>
    <xf numFmtId="0" fontId="17" fillId="0" borderId="3" applyAlignment="1" pivotButton="0" quotePrefix="0" xfId="1">
      <alignment horizontal="left" vertical="top" wrapText="1"/>
    </xf>
    <xf numFmtId="49" fontId="5" fillId="0" borderId="3" applyAlignment="1" pivotButton="0" quotePrefix="0" xfId="2">
      <alignment horizontal="left" vertical="top" wrapText="1"/>
    </xf>
    <xf numFmtId="165" fontId="5" fillId="0" borderId="3" applyAlignment="1" pivotButton="0" quotePrefix="0" xfId="2">
      <alignment horizontal="left" vertical="top" wrapText="1"/>
    </xf>
    <xf numFmtId="0" fontId="5" fillId="0" borderId="3" applyAlignment="1" pivotButton="0" quotePrefix="0" xfId="2">
      <alignment horizontal="left" vertical="top" wrapText="1"/>
    </xf>
    <xf numFmtId="14" fontId="5" fillId="0" borderId="3" applyAlignment="1" pivotButton="0" quotePrefix="0" xfId="2">
      <alignment horizontal="left" vertical="top" wrapText="1"/>
    </xf>
    <xf numFmtId="0" fontId="5" fillId="0" borderId="28" applyAlignment="1" pivotButton="0" quotePrefix="0" xfId="0">
      <alignment horizontal="left" vertical="top" wrapText="1"/>
    </xf>
    <xf numFmtId="0" fontId="5" fillId="0" borderId="5" applyAlignment="1" pivotButton="0" quotePrefix="0" xfId="0">
      <alignment horizontal="left" vertical="top" wrapText="1"/>
    </xf>
    <xf numFmtId="0" fontId="17" fillId="0" borderId="3" applyAlignment="1" pivotButton="0" quotePrefix="0" xfId="1">
      <alignment vertical="top" wrapText="1"/>
    </xf>
    <xf numFmtId="0" fontId="5" fillId="0" borderId="1" applyAlignment="1" pivotButton="0" quotePrefix="0" xfId="0">
      <alignment horizontal="left" vertical="top" wrapText="1"/>
    </xf>
    <xf numFmtId="0" fontId="20" fillId="0" borderId="0" applyAlignment="1" pivotButton="0" quotePrefix="0" xfId="8">
      <alignment horizontal="left" vertical="top" wrapText="1"/>
    </xf>
    <xf numFmtId="0" fontId="17" fillId="0" borderId="8" applyAlignment="1" pivotButton="0" quotePrefix="0" xfId="1">
      <alignment vertical="top" wrapText="1"/>
    </xf>
    <xf numFmtId="0" fontId="20" fillId="0" borderId="27" applyAlignment="1" pivotButton="0" quotePrefix="0" xfId="8">
      <alignment horizontal="left" vertical="top" wrapText="1"/>
    </xf>
    <xf numFmtId="0" fontId="20" fillId="0" borderId="28" applyAlignment="1" pivotButton="0" quotePrefix="0" xfId="8">
      <alignment horizontal="left" vertical="top" wrapText="1"/>
    </xf>
    <xf numFmtId="0" fontId="20" fillId="0" borderId="4" applyAlignment="1" pivotButton="0" quotePrefix="0" xfId="8">
      <alignment horizontal="left" vertical="top" wrapText="1"/>
    </xf>
    <xf numFmtId="0" fontId="17" fillId="0" borderId="9" applyAlignment="1" pivotButton="0" quotePrefix="0" xfId="1">
      <alignment vertical="top" wrapText="1"/>
    </xf>
    <xf numFmtId="0" fontId="5" fillId="0" borderId="22" applyAlignment="1" pivotButton="0" quotePrefix="0" xfId="8">
      <alignment horizontal="left" vertical="top" wrapText="1"/>
    </xf>
    <xf numFmtId="0" fontId="17" fillId="0" borderId="3" applyAlignment="1" pivotButton="0" quotePrefix="0" xfId="1">
      <alignment horizontal="left" vertical="top" wrapText="1"/>
    </xf>
    <xf numFmtId="0" fontId="5" fillId="0" borderId="3" applyAlignment="1" pivotButton="0" quotePrefix="0" xfId="0">
      <alignment horizontal="left" vertical="top" wrapText="1"/>
    </xf>
    <xf numFmtId="0" fontId="5" fillId="0" borderId="3" applyAlignment="1" pivotButton="0" quotePrefix="0" xfId="0">
      <alignment vertical="top" wrapText="1"/>
    </xf>
    <xf numFmtId="0" fontId="17" fillId="0" borderId="21" applyAlignment="1" pivotButton="0" quotePrefix="0" xfId="1">
      <alignment horizontal="left" vertical="top" wrapText="1"/>
    </xf>
    <xf numFmtId="0" fontId="5" fillId="0" borderId="1" applyAlignment="1" pivotButton="0" quotePrefix="0" xfId="2">
      <alignment horizontal="left" vertical="top" wrapText="1"/>
    </xf>
    <xf numFmtId="49" fontId="17" fillId="0" borderId="7" applyAlignment="1" pivotButton="0" quotePrefix="0" xfId="1">
      <alignment horizontal="left" vertical="top" wrapText="1"/>
    </xf>
    <xf numFmtId="49" fontId="17" fillId="0" borderId="6" applyAlignment="1" pivotButton="0" quotePrefix="0" xfId="1">
      <alignment horizontal="left" vertical="top" wrapText="1"/>
    </xf>
    <xf numFmtId="0" fontId="5" fillId="0" borderId="33" applyAlignment="1" pivotButton="0" quotePrefix="0" xfId="2">
      <alignment horizontal="left" vertical="top" wrapText="1"/>
    </xf>
    <xf numFmtId="0" fontId="5" fillId="0" borderId="10" applyAlignment="1" pivotButton="0" quotePrefix="0" xfId="2">
      <alignment horizontal="left" vertical="top" wrapText="1"/>
    </xf>
    <xf numFmtId="0" fontId="5" fillId="0" borderId="30" applyAlignment="1" pivotButton="0" quotePrefix="0" xfId="2">
      <alignment horizontal="left" vertical="top" wrapText="1"/>
    </xf>
    <xf numFmtId="0" fontId="5" fillId="0" borderId="0" applyAlignment="1" pivotButton="0" quotePrefix="0" xfId="2">
      <alignment vertical="center"/>
    </xf>
    <xf numFmtId="0" fontId="17" fillId="0" borderId="5" applyAlignment="1" pivotButton="0" quotePrefix="0" xfId="1">
      <alignment horizontal="left" vertical="top" wrapText="1"/>
    </xf>
    <xf numFmtId="0" fontId="5" fillId="0" borderId="5" applyAlignment="1" pivotButton="0" quotePrefix="0" xfId="0">
      <alignment horizontal="left" vertical="top" wrapText="1"/>
    </xf>
    <xf numFmtId="0" fontId="5" fillId="0" borderId="21" applyAlignment="1" pivotButton="0" quotePrefix="0" xfId="0">
      <alignment horizontal="left" vertical="top" wrapText="1"/>
    </xf>
    <xf numFmtId="0" fontId="5" fillId="0" borderId="21" applyAlignment="1" pivotButton="0" quotePrefix="0" xfId="0">
      <alignment vertical="top" wrapText="1"/>
    </xf>
    <xf numFmtId="0" fontId="5" fillId="0" borderId="34" applyAlignment="1" pivotButton="0" quotePrefix="0" xfId="2">
      <alignment horizontal="left" vertical="top" wrapText="1"/>
    </xf>
    <xf numFmtId="0" fontId="5" fillId="0" borderId="35" applyAlignment="1" pivotButton="0" quotePrefix="0" xfId="2">
      <alignment horizontal="left" vertical="top" wrapText="1"/>
    </xf>
    <xf numFmtId="0" fontId="5" fillId="0" borderId="16" applyAlignment="1" pivotButton="0" quotePrefix="0" xfId="0">
      <alignment horizontal="left" vertical="top" wrapText="1"/>
    </xf>
    <xf numFmtId="0" fontId="17" fillId="0" borderId="17" applyAlignment="1" pivotButton="0" quotePrefix="0" xfId="1">
      <alignment vertical="top" wrapText="1"/>
    </xf>
    <xf numFmtId="49" fontId="17" fillId="0" borderId="36" applyAlignment="1" pivotButton="0" quotePrefix="0" xfId="1">
      <alignment horizontal="left" vertical="top" wrapText="1"/>
    </xf>
    <xf numFmtId="0" fontId="5" fillId="0" borderId="28" applyAlignment="1" pivotButton="0" quotePrefix="0" xfId="0">
      <alignment horizontal="left" vertical="top" wrapText="1"/>
    </xf>
    <xf numFmtId="0" fontId="5" fillId="0" borderId="1" applyAlignment="1" pivotButton="0" quotePrefix="0" xfId="8">
      <alignment horizontal="left" vertical="top" wrapText="1"/>
    </xf>
    <xf numFmtId="0" fontId="5" fillId="0" borderId="4" applyAlignment="1" pivotButton="0" quotePrefix="0" xfId="0">
      <alignment horizontal="left" vertical="top" wrapText="1"/>
    </xf>
    <xf numFmtId="0" fontId="5" fillId="0" borderId="1" applyAlignment="1" pivotButton="0" quotePrefix="0" xfId="0">
      <alignment horizontal="left" vertical="top" wrapText="1"/>
    </xf>
    <xf numFmtId="0" fontId="5" fillId="0" borderId="37" applyAlignment="1" pivotButton="0" quotePrefix="0" xfId="2">
      <alignment horizontal="left" vertical="top" wrapText="1"/>
    </xf>
    <xf numFmtId="0" fontId="5" fillId="0" borderId="11" applyAlignment="1" pivotButton="0" quotePrefix="0" xfId="2">
      <alignment horizontal="left" vertical="top" wrapText="1"/>
    </xf>
    <xf numFmtId="0" fontId="5" fillId="0" borderId="12" applyAlignment="1" pivotButton="0" quotePrefix="0" xfId="2">
      <alignment horizontal="left" vertical="top" wrapText="1"/>
    </xf>
    <xf numFmtId="0" fontId="17" fillId="0" borderId="1" applyAlignment="1" pivotButton="0" quotePrefix="0" xfId="1">
      <alignment horizontal="left" vertical="top" wrapText="1"/>
    </xf>
    <xf numFmtId="49" fontId="17" fillId="0" borderId="17" applyAlignment="1" pivotButton="0" quotePrefix="0" xfId="1">
      <alignment horizontal="left" vertical="top" wrapText="1"/>
    </xf>
    <xf numFmtId="0" fontId="17" fillId="0" borderId="1" applyAlignment="1" pivotButton="0" quotePrefix="0" xfId="1">
      <alignment horizontal="left" vertical="top" wrapText="1" shrinkToFit="1"/>
    </xf>
    <xf numFmtId="49" fontId="17" fillId="0" borderId="38" applyAlignment="1" pivotButton="0" quotePrefix="0" xfId="1">
      <alignment horizontal="left" vertical="top" wrapText="1"/>
    </xf>
    <xf numFmtId="0" fontId="17" fillId="0" borderId="4" applyAlignment="1" pivotButton="0" quotePrefix="0" xfId="1">
      <alignment horizontal="left" vertical="top" wrapText="1"/>
    </xf>
    <xf numFmtId="0" fontId="5" fillId="0" borderId="27" applyAlignment="1" pivotButton="0" quotePrefix="0" xfId="0">
      <alignment horizontal="left" vertical="top" wrapText="1"/>
    </xf>
    <xf numFmtId="0" fontId="17" fillId="0" borderId="15" applyAlignment="1" pivotButton="0" quotePrefix="0" xfId="1">
      <alignment horizontal="left" vertical="top" wrapText="1"/>
    </xf>
    <xf numFmtId="0" fontId="5" fillId="0" borderId="31" applyAlignment="1" pivotButton="0" quotePrefix="0" xfId="2">
      <alignment horizontal="left" vertical="top" wrapText="1"/>
    </xf>
    <xf numFmtId="0" fontId="5" fillId="0" borderId="32" applyAlignment="1" pivotButton="0" quotePrefix="0" xfId="2">
      <alignment horizontal="left" vertical="top" wrapText="1"/>
    </xf>
    <xf numFmtId="0" fontId="5" fillId="3" borderId="3" applyAlignment="1" pivotButton="0" quotePrefix="0" xfId="8">
      <alignment horizontal="left" vertical="top" wrapText="1"/>
    </xf>
    <xf numFmtId="0" fontId="5" fillId="3" borderId="5" applyAlignment="1" pivotButton="0" quotePrefix="0" xfId="8">
      <alignment horizontal="left" vertical="top" wrapText="1"/>
    </xf>
    <xf numFmtId="0" fontId="5" fillId="3" borderId="1" applyAlignment="1" pivotButton="0" quotePrefix="0" xfId="8">
      <alignment horizontal="left" vertical="top" wrapText="1"/>
    </xf>
    <xf numFmtId="0" fontId="17" fillId="3" borderId="1" applyAlignment="1" pivotButton="0" quotePrefix="0" xfId="1">
      <alignment horizontal="left" vertical="top" wrapText="1" shrinkToFit="1"/>
    </xf>
    <xf numFmtId="49" fontId="5" fillId="3" borderId="1" applyAlignment="1" pivotButton="0" quotePrefix="0" xfId="2">
      <alignment horizontal="left" vertical="top" wrapText="1"/>
    </xf>
    <xf numFmtId="165" fontId="5" fillId="3" borderId="1" applyAlignment="1" pivotButton="0" quotePrefix="0" xfId="2">
      <alignment horizontal="left" vertical="top" wrapText="1"/>
    </xf>
    <xf numFmtId="14" fontId="5" fillId="3" borderId="1" applyAlignment="1" pivotButton="0" quotePrefix="0" xfId="2">
      <alignment horizontal="left" vertical="top" wrapText="1"/>
    </xf>
    <xf numFmtId="0" fontId="5" fillId="3" borderId="1" applyAlignment="1" pivotButton="0" quotePrefix="0" xfId="2">
      <alignment horizontal="left" vertical="top" wrapText="1"/>
    </xf>
    <xf numFmtId="0" fontId="20" fillId="3" borderId="16" applyAlignment="1" pivotButton="0" quotePrefix="0" xfId="8">
      <alignment horizontal="left" vertical="top" wrapText="1"/>
    </xf>
    <xf numFmtId="0" fontId="5" fillId="3" borderId="27" applyAlignment="1" pivotButton="0" quotePrefix="0" xfId="8">
      <alignment horizontal="left" vertical="top" wrapText="1"/>
    </xf>
    <xf numFmtId="0" fontId="5" fillId="3" borderId="4" applyAlignment="1" pivotButton="0" quotePrefix="0" xfId="8">
      <alignment horizontal="left" vertical="top" wrapText="1"/>
    </xf>
    <xf numFmtId="0" fontId="17" fillId="3" borderId="1" applyAlignment="1" pivotButton="0" quotePrefix="0" xfId="1">
      <alignment horizontal="left" vertical="top" wrapText="1"/>
    </xf>
    <xf numFmtId="0" fontId="5" fillId="3" borderId="28" applyAlignment="1" pivotButton="0" quotePrefix="0" xfId="8">
      <alignment horizontal="left" vertical="top" wrapText="1"/>
    </xf>
    <xf numFmtId="0" fontId="5" fillId="3" borderId="23" applyAlignment="1" pivotButton="0" quotePrefix="0" xfId="8">
      <alignment horizontal="left" vertical="top" wrapText="1"/>
    </xf>
    <xf numFmtId="0" fontId="20" fillId="3" borderId="5" applyAlignment="1" pivotButton="0" quotePrefix="0" xfId="8">
      <alignment horizontal="left" vertical="top" wrapText="1"/>
    </xf>
    <xf numFmtId="0" fontId="17" fillId="4" borderId="1" applyAlignment="1" pivotButton="0" quotePrefix="0" xfId="1">
      <alignment horizontal="left" vertical="top" wrapText="1" shrinkToFit="1"/>
    </xf>
    <xf numFmtId="0" fontId="5" fillId="3" borderId="16" applyAlignment="1" pivotButton="0" quotePrefix="0" xfId="8">
      <alignment horizontal="left" vertical="top" wrapText="1"/>
    </xf>
    <xf numFmtId="0" fontId="5" fillId="3" borderId="29" applyAlignment="1" pivotButton="0" quotePrefix="0" xfId="8">
      <alignment horizontal="left" vertical="top" wrapText="1"/>
    </xf>
    <xf numFmtId="0" fontId="17" fillId="3" borderId="1" applyAlignment="1" pivotButton="0" quotePrefix="0" xfId="0">
      <alignment horizontal="left" vertical="top" wrapText="1"/>
    </xf>
    <xf numFmtId="0" fontId="17" fillId="3" borderId="3" applyAlignment="1" pivotButton="0" quotePrefix="0" xfId="0">
      <alignment horizontal="left" vertical="top" wrapText="1"/>
    </xf>
    <xf numFmtId="0" fontId="17" fillId="3" borderId="3" applyAlignment="1" pivotButton="0" quotePrefix="0" xfId="1">
      <alignment horizontal="left" vertical="top" wrapText="1"/>
    </xf>
    <xf numFmtId="49" fontId="5" fillId="3" borderId="3" applyAlignment="1" pivotButton="0" quotePrefix="0" xfId="2">
      <alignment horizontal="left" vertical="top" wrapText="1"/>
    </xf>
    <xf numFmtId="165" fontId="5" fillId="3" borderId="3" applyAlignment="1" pivotButton="0" quotePrefix="0" xfId="2">
      <alignment horizontal="left" vertical="top" wrapText="1"/>
    </xf>
    <xf numFmtId="0" fontId="5" fillId="3" borderId="3" applyAlignment="1" pivotButton="0" quotePrefix="0" xfId="2">
      <alignment horizontal="left" vertical="top" wrapText="1"/>
    </xf>
    <xf numFmtId="14" fontId="5" fillId="3" borderId="3" applyAlignment="1" pivotButton="0" quotePrefix="0" xfId="2">
      <alignment horizontal="left" vertical="top" wrapText="1"/>
    </xf>
    <xf numFmtId="0" fontId="5" fillId="3" borderId="28" applyAlignment="1" pivotButton="0" quotePrefix="0" xfId="0">
      <alignment horizontal="left" vertical="top" wrapText="1"/>
    </xf>
    <xf numFmtId="0" fontId="5" fillId="3" borderId="5" applyAlignment="1" pivotButton="0" quotePrefix="0" xfId="0">
      <alignment horizontal="left" vertical="top" wrapText="1"/>
    </xf>
    <xf numFmtId="0" fontId="17" fillId="3" borderId="3" applyAlignment="1" pivotButton="0" quotePrefix="0" xfId="1">
      <alignment vertical="top" wrapText="1"/>
    </xf>
    <xf numFmtId="0" fontId="5" fillId="3" borderId="1" applyAlignment="1" pivotButton="0" quotePrefix="0" xfId="0">
      <alignment horizontal="left" vertical="top" wrapText="1"/>
    </xf>
    <xf numFmtId="0" fontId="20" fillId="3" borderId="0" applyAlignment="1" pivotButton="0" quotePrefix="0" xfId="8">
      <alignment horizontal="left" vertical="top" wrapText="1"/>
    </xf>
    <xf numFmtId="0" fontId="17" fillId="3" borderId="8" applyAlignment="1" pivotButton="0" quotePrefix="0" xfId="1">
      <alignment vertical="top" wrapText="1"/>
    </xf>
    <xf numFmtId="0" fontId="20" fillId="3" borderId="27" applyAlignment="1" pivotButton="0" quotePrefix="0" xfId="8">
      <alignment horizontal="left" vertical="top" wrapText="1"/>
    </xf>
    <xf numFmtId="0" fontId="20" fillId="3" borderId="28" applyAlignment="1" pivotButton="0" quotePrefix="0" xfId="8">
      <alignment horizontal="left" vertical="top" wrapText="1"/>
    </xf>
    <xf numFmtId="0" fontId="20" fillId="3" borderId="4" applyAlignment="1" pivotButton="0" quotePrefix="0" xfId="8">
      <alignment horizontal="left" vertical="top" wrapText="1"/>
    </xf>
    <xf numFmtId="0" fontId="17" fillId="3" borderId="9" applyAlignment="1" pivotButton="0" quotePrefix="0" xfId="1">
      <alignment vertical="top" wrapText="1"/>
    </xf>
    <xf numFmtId="0" fontId="5" fillId="3" borderId="22" applyAlignment="1" pivotButton="0" quotePrefix="0" xfId="8">
      <alignment horizontal="left" vertical="top" wrapText="1"/>
    </xf>
    <xf numFmtId="0" fontId="20" fillId="3" borderId="25" applyAlignment="1" pivotButton="0" quotePrefix="0" xfId="8">
      <alignment horizontal="left" vertical="top" wrapText="1"/>
    </xf>
    <xf numFmtId="0" fontId="5" fillId="3" borderId="21" applyAlignment="1" pivotButton="0" quotePrefix="0" xfId="8">
      <alignment horizontal="left" vertical="top" wrapText="1"/>
    </xf>
    <xf numFmtId="0" fontId="5" fillId="3" borderId="25" applyAlignment="1" pivotButton="0" quotePrefix="0" xfId="8">
      <alignment horizontal="left" vertical="top" wrapText="1"/>
    </xf>
    <xf numFmtId="0" fontId="5" fillId="3" borderId="13" applyAlignment="1" pivotButton="0" quotePrefix="0" xfId="8">
      <alignment horizontal="left" vertical="top" wrapText="1"/>
    </xf>
    <xf numFmtId="0" fontId="5" fillId="3" borderId="0" applyAlignment="1" pivotButton="0" quotePrefix="0" xfId="8">
      <alignment horizontal="left" vertical="top" wrapText="1"/>
    </xf>
    <xf numFmtId="0" fontId="16" fillId="3" borderId="4" applyAlignment="1" pivotButton="0" quotePrefix="0" xfId="8">
      <alignment horizontal="left" vertical="top" wrapText="1"/>
    </xf>
    <xf numFmtId="0" fontId="17" fillId="4" borderId="1" applyAlignment="1" pivotButton="0" quotePrefix="0" xfId="0">
      <alignment horizontal="left" vertical="top" wrapText="1"/>
    </xf>
    <xf numFmtId="0" fontId="5" fillId="4" borderId="1" applyAlignment="1" pivotButton="0" quotePrefix="0" xfId="8">
      <alignment horizontal="left" vertical="top" wrapText="1"/>
    </xf>
    <xf numFmtId="0" fontId="17" fillId="3" borderId="1" applyAlignment="1" pivotButton="0" quotePrefix="0" xfId="0">
      <alignment horizontal="left" vertical="top" wrapText="1" shrinkToFit="1"/>
    </xf>
    <xf numFmtId="0" fontId="5" fillId="3" borderId="15" applyAlignment="1" pivotButton="0" quotePrefix="0" xfId="8">
      <alignment horizontal="left" vertical="top" wrapText="1"/>
    </xf>
    <xf numFmtId="49" fontId="5" fillId="3" borderId="1" applyAlignment="1" pivotButton="0" quotePrefix="0" xfId="2">
      <alignment vertical="top" wrapText="1"/>
    </xf>
    <xf numFmtId="0" fontId="5" fillId="0" borderId="5" applyAlignment="1" pivotButton="0" quotePrefix="0" xfId="0">
      <alignment vertical="top" wrapText="1"/>
    </xf>
    <xf numFmtId="0" fontId="5" fillId="0" borderId="3" applyAlignment="1" pivotButton="0" quotePrefix="0" xfId="0">
      <alignment vertical="top" wrapText="1"/>
    </xf>
    <xf numFmtId="0" fontId="5" fillId="0" borderId="1" applyAlignment="1" pivotButton="0" quotePrefix="0" xfId="0">
      <alignment vertical="top" wrapText="1"/>
    </xf>
    <xf numFmtId="49" fontId="5" fillId="0" borderId="1" applyAlignment="1" pivotButton="0" quotePrefix="0" xfId="2">
      <alignment vertical="top" wrapText="1"/>
    </xf>
    <xf numFmtId="0" fontId="5" fillId="0" borderId="4" applyAlignment="1" pivotButton="0" quotePrefix="0" xfId="0">
      <alignment vertical="top" wrapText="1"/>
    </xf>
    <xf numFmtId="49" fontId="5" fillId="4" borderId="1" applyAlignment="1" pivotButton="0" quotePrefix="0" xfId="2">
      <alignment horizontal="left" vertical="top" wrapText="1"/>
    </xf>
    <xf numFmtId="31" fontId="12" fillId="0" borderId="0" applyAlignment="1" pivotButton="0" quotePrefix="1" xfId="3">
      <alignment horizontal="center" vertical="center"/>
    </xf>
    <xf numFmtId="0" fontId="5" fillId="2" borderId="13" applyAlignment="1" pivotButton="0" quotePrefix="0" xfId="5">
      <alignment horizontal="left" vertical="top"/>
    </xf>
    <xf numFmtId="0" fontId="5" fillId="2" borderId="15" applyAlignment="1" pivotButton="0" quotePrefix="0" xfId="5">
      <alignment horizontal="left" vertical="top"/>
    </xf>
    <xf numFmtId="14" fontId="5" fillId="0" borderId="13" applyAlignment="1" pivotButton="0" quotePrefix="0" xfId="5">
      <alignment horizontal="left" vertical="top"/>
    </xf>
    <xf numFmtId="14" fontId="5" fillId="0" borderId="14" applyAlignment="1" pivotButton="0" quotePrefix="0" xfId="5">
      <alignment horizontal="left" vertical="top"/>
    </xf>
    <xf numFmtId="14" fontId="5" fillId="0" borderId="15" applyAlignment="1" pivotButton="0" quotePrefix="0" xfId="5">
      <alignment horizontal="left" vertical="top"/>
    </xf>
    <xf numFmtId="0" fontId="5" fillId="2" borderId="14" applyAlignment="1" pivotButton="0" quotePrefix="0" xfId="5">
      <alignment horizontal="left" vertical="top"/>
    </xf>
    <xf numFmtId="0" fontId="5" fillId="0" borderId="13" applyAlignment="1" pivotButton="0" quotePrefix="0" xfId="7">
      <alignment horizontal="left" vertical="top"/>
    </xf>
    <xf numFmtId="0" fontId="5" fillId="0" borderId="14" applyAlignment="1" pivotButton="0" quotePrefix="0" xfId="7">
      <alignment horizontal="left" vertical="top"/>
    </xf>
    <xf numFmtId="0" fontId="5" fillId="0" borderId="15" applyAlignment="1" pivotButton="0" quotePrefix="0" xfId="7">
      <alignment horizontal="left" vertical="top"/>
    </xf>
    <xf numFmtId="166" fontId="5" fillId="0" borderId="13" applyAlignment="1" pivotButton="0" quotePrefix="0" xfId="4">
      <alignment horizontal="right" vertical="top"/>
    </xf>
    <xf numFmtId="166" fontId="5" fillId="0" borderId="14" applyAlignment="1" pivotButton="0" quotePrefix="0" xfId="4">
      <alignment horizontal="right" vertical="top"/>
    </xf>
    <xf numFmtId="166" fontId="5" fillId="0" borderId="15" applyAlignment="1" pivotButton="0" quotePrefix="0" xfId="4">
      <alignment horizontal="right" vertical="top"/>
    </xf>
    <xf numFmtId="0" fontId="5" fillId="0" borderId="13" applyAlignment="1" pivotButton="0" quotePrefix="0" xfId="5">
      <alignment horizontal="left" vertical="top"/>
    </xf>
    <xf numFmtId="0" fontId="5" fillId="0" borderId="14" applyAlignment="1" pivotButton="0" quotePrefix="0" xfId="5">
      <alignment horizontal="left" vertical="top"/>
    </xf>
    <xf numFmtId="0" fontId="5" fillId="0" borderId="15" applyAlignment="1" pivotButton="0" quotePrefix="0" xfId="5">
      <alignment horizontal="left" vertical="top"/>
    </xf>
    <xf numFmtId="0" fontId="5" fillId="2" borderId="23" applyAlignment="1" pivotButton="0" quotePrefix="0" xfId="5">
      <alignment horizontal="left" vertical="top"/>
    </xf>
    <xf numFmtId="0" fontId="5" fillId="2" borderId="22" applyAlignment="1" pivotButton="0" quotePrefix="0" xfId="5">
      <alignment horizontal="left" vertical="top"/>
    </xf>
    <xf numFmtId="0" fontId="5" fillId="2" borderId="21" applyAlignment="1" pivotButton="0" quotePrefix="0" xfId="5">
      <alignment horizontal="left" vertical="top"/>
    </xf>
    <xf numFmtId="0" fontId="5" fillId="2" borderId="28" applyAlignment="1" pivotButton="0" quotePrefix="0" xfId="5">
      <alignment horizontal="left" vertical="top"/>
    </xf>
    <xf numFmtId="0" fontId="5" fillId="2" borderId="0" applyAlignment="1" pivotButton="0" quotePrefix="0" xfId="5">
      <alignment horizontal="left" vertical="top"/>
    </xf>
    <xf numFmtId="0" fontId="5" fillId="2" borderId="16" applyAlignment="1" pivotButton="0" quotePrefix="0" xfId="5">
      <alignment horizontal="left" vertical="top"/>
    </xf>
    <xf numFmtId="0" fontId="5" fillId="2" borderId="27" applyAlignment="1" pivotButton="0" quotePrefix="0" xfId="5">
      <alignment horizontal="left" vertical="top"/>
    </xf>
    <xf numFmtId="0" fontId="5" fillId="2" borderId="26" applyAlignment="1" pivotButton="0" quotePrefix="0" xfId="5">
      <alignment horizontal="left" vertical="top"/>
    </xf>
    <xf numFmtId="0" fontId="5" fillId="2" borderId="25" applyAlignment="1" pivotButton="0" quotePrefix="0" xfId="5">
      <alignment horizontal="left" vertical="top"/>
    </xf>
    <xf numFmtId="0" fontId="5" fillId="0" borderId="23" applyAlignment="1" pivotButton="0" quotePrefix="0" xfId="5">
      <alignment horizontal="left" vertical="top" wrapText="1"/>
    </xf>
    <xf numFmtId="0" fontId="5" fillId="0" borderId="22" applyAlignment="1" pivotButton="0" quotePrefix="0" xfId="5">
      <alignment horizontal="left" vertical="top" wrapText="1"/>
    </xf>
    <xf numFmtId="0" fontId="5" fillId="0" borderId="21" applyAlignment="1" pivotButton="0" quotePrefix="0" xfId="5">
      <alignment horizontal="left" vertical="top" wrapText="1"/>
    </xf>
    <xf numFmtId="0" fontId="5" fillId="0" borderId="28" applyAlignment="1" pivotButton="0" quotePrefix="0" xfId="5">
      <alignment horizontal="left" vertical="top" wrapText="1"/>
    </xf>
    <xf numFmtId="0" fontId="5" fillId="0" borderId="0" applyAlignment="1" pivotButton="0" quotePrefix="0" xfId="5">
      <alignment horizontal="left" vertical="top" wrapText="1"/>
    </xf>
    <xf numFmtId="0" fontId="5" fillId="0" borderId="16" applyAlignment="1" pivotButton="0" quotePrefix="0" xfId="5">
      <alignment horizontal="left" vertical="top" wrapText="1"/>
    </xf>
    <xf numFmtId="0" fontId="5" fillId="0" borderId="27" applyAlignment="1" pivotButton="0" quotePrefix="0" xfId="5">
      <alignment horizontal="left" vertical="top" wrapText="1"/>
    </xf>
    <xf numFmtId="0" fontId="5" fillId="0" borderId="26" applyAlignment="1" pivotButton="0" quotePrefix="0" xfId="5">
      <alignment horizontal="left" vertical="top" wrapText="1"/>
    </xf>
    <xf numFmtId="0" fontId="5" fillId="0" borderId="25" applyAlignment="1" pivotButton="0" quotePrefix="0" xfId="5">
      <alignment horizontal="left" vertical="top" wrapText="1"/>
    </xf>
    <xf numFmtId="0" fontId="5" fillId="0" borderId="23" applyAlignment="1" pivotButton="0" quotePrefix="0" xfId="3">
      <alignment horizontal="center" vertical="center"/>
    </xf>
    <xf numFmtId="0" fontId="5" fillId="0" borderId="21" applyAlignment="1" pivotButton="0" quotePrefix="0" xfId="3">
      <alignment horizontal="center" vertical="center"/>
    </xf>
    <xf numFmtId="0" fontId="5" fillId="0" borderId="22" applyAlignment="1" pivotButton="0" quotePrefix="0" xfId="3">
      <alignment horizontal="center" vertical="center"/>
    </xf>
    <xf numFmtId="0" fontId="5" fillId="0" borderId="20" applyAlignment="1" pivotButton="0" quotePrefix="0" xfId="3">
      <alignment horizontal="center" vertical="top"/>
    </xf>
    <xf numFmtId="0" fontId="5" fillId="0" borderId="18" applyAlignment="1" pivotButton="0" quotePrefix="0" xfId="3">
      <alignment horizontal="center" vertical="top"/>
    </xf>
    <xf numFmtId="14" fontId="5" fillId="0" borderId="20" applyAlignment="1" pivotButton="0" quotePrefix="1" xfId="3">
      <alignment horizontal="center" vertical="top"/>
    </xf>
    <xf numFmtId="14" fontId="5" fillId="0" borderId="19" applyAlignment="1" pivotButton="0" quotePrefix="1" xfId="3">
      <alignment horizontal="center" vertical="top"/>
    </xf>
    <xf numFmtId="14" fontId="5" fillId="0" borderId="18" applyAlignment="1" pivotButton="0" quotePrefix="1" xfId="3">
      <alignment horizontal="center" vertical="top"/>
    </xf>
    <xf numFmtId="14" fontId="5" fillId="0" borderId="20" applyAlignment="1" pivotButton="0" quotePrefix="0" xfId="3">
      <alignment horizontal="center" vertical="top"/>
    </xf>
    <xf numFmtId="0" fontId="5" fillId="0" borderId="19" applyAlignment="1" pivotButton="0" quotePrefix="0" xfId="3">
      <alignment horizontal="center" vertical="top"/>
    </xf>
    <xf numFmtId="0" fontId="5" fillId="0" borderId="20" applyAlignment="1" pivotButton="0" quotePrefix="0" xfId="3">
      <alignment horizontal="left" vertical="top"/>
    </xf>
    <xf numFmtId="0" fontId="5" fillId="0" borderId="19" applyAlignment="1" pivotButton="0" quotePrefix="0" xfId="3">
      <alignment horizontal="left" vertical="top"/>
    </xf>
    <xf numFmtId="0" fontId="5" fillId="0" borderId="18" applyAlignment="1" pivotButton="0" quotePrefix="0" xfId="3">
      <alignment horizontal="left" vertical="top"/>
    </xf>
    <xf numFmtId="0" fontId="5" fillId="0" borderId="20" applyAlignment="1" pivotButton="0" quotePrefix="0" xfId="3">
      <alignment horizontal="left" vertical="top" wrapText="1"/>
    </xf>
    <xf numFmtId="0" fontId="5" fillId="0" borderId="19" applyAlignment="1" pivotButton="0" quotePrefix="0" xfId="3">
      <alignment horizontal="left" vertical="top" wrapText="1"/>
    </xf>
    <xf numFmtId="0" fontId="5" fillId="0" borderId="18" applyAlignment="1" pivotButton="0" quotePrefix="0" xfId="3">
      <alignment horizontal="left" vertical="top" wrapText="1"/>
    </xf>
    <xf numFmtId="0" fontId="5" fillId="0" borderId="13" applyAlignment="1" pivotButton="0" quotePrefix="0" xfId="3">
      <alignment horizontal="center" vertical="top"/>
    </xf>
    <xf numFmtId="0" fontId="5" fillId="0" borderId="15" applyAlignment="1" pivotButton="0" quotePrefix="0" xfId="3">
      <alignment horizontal="center" vertical="top"/>
    </xf>
    <xf numFmtId="14" fontId="5" fillId="0" borderId="13" applyAlignment="1" pivotButton="0" quotePrefix="0" xfId="3">
      <alignment horizontal="center" vertical="top"/>
    </xf>
    <xf numFmtId="14" fontId="5" fillId="0" borderId="14" applyAlignment="1" pivotButton="0" quotePrefix="0" xfId="3">
      <alignment horizontal="center" vertical="top"/>
    </xf>
    <xf numFmtId="14" fontId="5" fillId="0" borderId="15" applyAlignment="1" pivotButton="0" quotePrefix="0" xfId="3">
      <alignment horizontal="center" vertical="top"/>
    </xf>
    <xf numFmtId="0" fontId="5" fillId="0" borderId="14" applyAlignment="1" pivotButton="0" quotePrefix="0" xfId="3">
      <alignment horizontal="center" vertical="top"/>
    </xf>
    <xf numFmtId="0" fontId="5" fillId="0" borderId="13" applyAlignment="1" pivotButton="0" quotePrefix="0" xfId="3">
      <alignment horizontal="left" vertical="top"/>
    </xf>
    <xf numFmtId="0" fontId="5" fillId="0" borderId="14" applyAlignment="1" pivotButton="0" quotePrefix="0" xfId="3">
      <alignment horizontal="left" vertical="top"/>
    </xf>
    <xf numFmtId="0" fontId="5" fillId="0" borderId="15" applyAlignment="1" pivotButton="0" quotePrefix="0" xfId="3">
      <alignment horizontal="left" vertical="top"/>
    </xf>
    <xf numFmtId="0" fontId="5" fillId="0" borderId="13" applyAlignment="1" pivotButton="0" quotePrefix="0" xfId="3">
      <alignment horizontal="left" vertical="top" wrapText="1"/>
    </xf>
    <xf numFmtId="0" fontId="5" fillId="0" borderId="14" applyAlignment="1" pivotButton="0" quotePrefix="0" xfId="3">
      <alignment horizontal="left" vertical="top" wrapText="1"/>
    </xf>
    <xf numFmtId="0" fontId="5" fillId="0" borderId="15" applyAlignment="1" pivotButton="0" quotePrefix="0" xfId="3">
      <alignment horizontal="left" vertical="top" wrapText="1"/>
    </xf>
    <xf numFmtId="0" fontId="11" fillId="0" borderId="14" applyAlignment="1" pivotButton="0" quotePrefix="0" xfId="3">
      <alignment horizontal="left" vertical="top"/>
    </xf>
    <xf numFmtId="0" fontId="5" fillId="3" borderId="5" applyAlignment="1" pivotButton="0" quotePrefix="0" xfId="8">
      <alignment horizontal="left" vertical="top" wrapText="1"/>
    </xf>
    <xf numFmtId="0" fontId="5" fillId="0" borderId="0" pivotButton="0" quotePrefix="0" xfId="9"/>
    <xf numFmtId="0" fontId="15" fillId="0" borderId="0" pivotButton="0" quotePrefix="0" xfId="9"/>
    <xf numFmtId="0" fontId="14" fillId="0" borderId="0" pivotButton="0" quotePrefix="0" xfId="9"/>
    <xf numFmtId="0" fontId="13" fillId="0" borderId="0" pivotButton="0" quotePrefix="0" xfId="9"/>
    <xf numFmtId="0" fontId="5" fillId="0" borderId="23" pivotButton="0" quotePrefix="0" xfId="9"/>
    <xf numFmtId="0" fontId="5" fillId="0" borderId="22" pivotButton="0" quotePrefix="0" xfId="9"/>
    <xf numFmtId="0" fontId="5" fillId="0" borderId="21" pivotButton="0" quotePrefix="0" xfId="9"/>
    <xf numFmtId="0" fontId="5" fillId="0" borderId="28" pivotButton="0" quotePrefix="0" xfId="9"/>
    <xf numFmtId="164" fontId="25" fillId="0" borderId="0" applyAlignment="1" pivotButton="0" quotePrefix="0" xfId="9">
      <alignment horizontal="center"/>
    </xf>
    <xf numFmtId="0" fontId="5" fillId="0" borderId="16" pivotButton="0" quotePrefix="0" xfId="9"/>
    <xf numFmtId="0" fontId="5" fillId="0" borderId="27" pivotButton="0" quotePrefix="0" xfId="9"/>
    <xf numFmtId="0" fontId="5" fillId="0" borderId="26" pivotButton="0" quotePrefix="0" xfId="9"/>
    <xf numFmtId="0" fontId="5" fillId="0" borderId="25" pivotButton="0" quotePrefix="0" xfId="9"/>
    <xf numFmtId="164" fontId="12" fillId="0" borderId="0" applyAlignment="1" pivotButton="0" quotePrefix="0" xfId="9">
      <alignment horizontal="center"/>
    </xf>
    <xf numFmtId="166" fontId="12" fillId="0" borderId="0" applyAlignment="1" pivotButton="0" quotePrefix="0" xfId="9">
      <alignment horizontal="center" vertical="center"/>
    </xf>
    <xf numFmtId="0" fontId="10" fillId="0" borderId="0" pivotButton="0" quotePrefix="0" xfId="9"/>
    <xf numFmtId="0" fontId="26" fillId="0" borderId="0" pivotButton="0" quotePrefix="0" xfId="9"/>
    <xf numFmtId="0" fontId="6" fillId="0" borderId="0" pivotButton="0" quotePrefix="0" xfId="9"/>
    <xf numFmtId="0" fontId="12" fillId="0" borderId="0" applyAlignment="1" pivotButton="0" quotePrefix="0" xfId="9">
      <alignment horizontal="center" vertical="center"/>
    </xf>
    <xf numFmtId="0" fontId="10" fillId="0" borderId="0" applyAlignment="1" pivotButton="0" quotePrefix="0" xfId="9">
      <alignment horizontal="center"/>
    </xf>
    <xf numFmtId="0" fontId="8" fillId="0" borderId="0" applyAlignment="1" pivotButton="0" quotePrefix="0" xfId="9">
      <alignment horizontal="center"/>
    </xf>
    <xf numFmtId="0" fontId="11" fillId="0" borderId="0" applyAlignment="1" pivotButton="0" quotePrefix="0" xfId="9">
      <alignment horizontal="center"/>
    </xf>
    <xf numFmtId="0" fontId="12" fillId="0" borderId="0" pivotButton="0" quotePrefix="0" xfId="9"/>
    <xf numFmtId="0" fontId="4" fillId="0" borderId="0" applyAlignment="1" pivotButton="0" quotePrefix="0" xfId="9">
      <alignment vertical="center"/>
    </xf>
    <xf numFmtId="0" fontId="5" fillId="0" borderId="0" applyAlignment="1" pivotButton="0" quotePrefix="0" xfId="9">
      <alignment vertical="center"/>
    </xf>
    <xf numFmtId="0" fontId="5" fillId="2" borderId="1" applyAlignment="1" pivotButton="0" quotePrefix="0" xfId="5">
      <alignment horizontal="left" vertical="top"/>
    </xf>
    <xf numFmtId="0" fontId="0" fillId="0" borderId="14" pivotButton="0" quotePrefix="0" xfId="0"/>
    <xf numFmtId="0" fontId="0" fillId="0" borderId="15" pivotButton="0" quotePrefix="0" xfId="0"/>
    <xf numFmtId="0" fontId="5" fillId="0" borderId="1" applyAlignment="1" pivotButton="0" quotePrefix="0" xfId="7">
      <alignment horizontal="left" vertical="top"/>
    </xf>
    <xf numFmtId="0" fontId="0" fillId="0" borderId="22" pivotButton="0" quotePrefix="0" xfId="0"/>
    <xf numFmtId="0" fontId="0" fillId="0" borderId="21" pivotButton="0" quotePrefix="0" xfId="0"/>
    <xf numFmtId="0" fontId="5" fillId="0" borderId="1" applyAlignment="1" pivotButton="0" quotePrefix="0" xfId="5">
      <alignment horizontal="left" vertical="top" wrapText="1"/>
    </xf>
    <xf numFmtId="14" fontId="5" fillId="0" borderId="1" applyAlignment="1" pivotButton="0" quotePrefix="0" xfId="5">
      <alignment horizontal="left" vertical="top"/>
    </xf>
    <xf numFmtId="166" fontId="5" fillId="0" borderId="1" applyAlignment="1" pivotButton="0" quotePrefix="0" xfId="4">
      <alignment horizontal="right" vertical="top"/>
    </xf>
    <xf numFmtId="0" fontId="0" fillId="0" borderId="28" pivotButton="0" quotePrefix="0" xfId="0"/>
    <xf numFmtId="0" fontId="0" fillId="0" borderId="16" pivotButton="0" quotePrefix="0" xfId="0"/>
    <xf numFmtId="0" fontId="5" fillId="0" borderId="1" applyAlignment="1" pivotButton="0" quotePrefix="0" xfId="5">
      <alignment horizontal="left" vertical="top"/>
    </xf>
    <xf numFmtId="0" fontId="0" fillId="0" borderId="27" pivotButton="0" quotePrefix="0" xfId="0"/>
    <xf numFmtId="0" fontId="0" fillId="0" borderId="26" pivotButton="0" quotePrefix="0" xfId="0"/>
    <xf numFmtId="0" fontId="0" fillId="0" borderId="25" pivotButton="0" quotePrefix="0" xfId="0"/>
    <xf numFmtId="0" fontId="5" fillId="0" borderId="3" applyAlignment="1" pivotButton="0" quotePrefix="0" xfId="3">
      <alignment horizontal="center" vertical="center"/>
    </xf>
    <xf numFmtId="0" fontId="5" fillId="0" borderId="39" applyAlignment="1" pivotButton="0" quotePrefix="0" xfId="3">
      <alignment horizontal="center" vertical="top"/>
    </xf>
    <xf numFmtId="0" fontId="0" fillId="0" borderId="18" pivotButton="0" quotePrefix="0" xfId="0"/>
    <xf numFmtId="14" fontId="5" fillId="0" borderId="39" applyAlignment="1" pivotButton="0" quotePrefix="1" xfId="3">
      <alignment horizontal="center" vertical="top"/>
    </xf>
    <xf numFmtId="0" fontId="0" fillId="0" borderId="19" pivotButton="0" quotePrefix="0" xfId="0"/>
    <xf numFmtId="14" fontId="5" fillId="0" borderId="39" applyAlignment="1" pivotButton="0" quotePrefix="0" xfId="3">
      <alignment horizontal="center" vertical="top"/>
    </xf>
    <xf numFmtId="0" fontId="5" fillId="0" borderId="39" applyAlignment="1" pivotButton="0" quotePrefix="0" xfId="3">
      <alignment horizontal="left" vertical="top"/>
    </xf>
    <xf numFmtId="0" fontId="5" fillId="0" borderId="39" applyAlignment="1" pivotButton="0" quotePrefix="0" xfId="3">
      <alignment horizontal="left" vertical="top" wrapText="1"/>
    </xf>
    <xf numFmtId="0" fontId="5" fillId="0" borderId="1" applyAlignment="1" pivotButton="0" quotePrefix="0" xfId="3">
      <alignment horizontal="center" vertical="top"/>
    </xf>
    <xf numFmtId="14" fontId="5" fillId="0" borderId="1" applyAlignment="1" pivotButton="0" quotePrefix="0" xfId="3">
      <alignment horizontal="center" vertical="top"/>
    </xf>
    <xf numFmtId="0" fontId="5" fillId="0" borderId="1" applyAlignment="1" pivotButton="0" quotePrefix="0" xfId="3">
      <alignment horizontal="left" vertical="top"/>
    </xf>
    <xf numFmtId="0" fontId="5" fillId="0" borderId="1" applyAlignment="1" pivotButton="0" quotePrefix="0" xfId="3">
      <alignment horizontal="left" vertical="top" wrapText="1"/>
    </xf>
    <xf numFmtId="165" fontId="5" fillId="0" borderId="1" applyAlignment="1" pivotButton="0" quotePrefix="0" xfId="2">
      <alignment horizontal="left" vertical="top" wrapText="1"/>
    </xf>
    <xf numFmtId="165" fontId="5" fillId="0" borderId="3" applyAlignment="1" pivotButton="0" quotePrefix="0" xfId="2">
      <alignment horizontal="left" vertical="top" wrapText="1"/>
    </xf>
    <xf numFmtId="0" fontId="0" fillId="0" borderId="5" pivotButton="0" quotePrefix="0" xfId="0"/>
    <xf numFmtId="0" fontId="5" fillId="0" borderId="25" applyAlignment="1" pivotButton="0" quotePrefix="0" xfId="8">
      <alignment horizontal="left" vertical="top" wrapText="1"/>
    </xf>
    <xf numFmtId="0" fontId="5" fillId="0" borderId="13" applyAlignment="1" pivotButton="0" quotePrefix="0" xfId="8">
      <alignment horizontal="left" vertical="top" wrapText="1"/>
    </xf>
    <xf numFmtId="0" fontId="5" fillId="0" borderId="0" applyAlignment="1" pivotButton="0" quotePrefix="0" xfId="8">
      <alignment horizontal="left" vertical="top" wrapText="1"/>
    </xf>
    <xf numFmtId="0" fontId="16" fillId="0" borderId="4" applyAlignment="1" pivotButton="0" quotePrefix="0" xfId="8">
      <alignment horizontal="left" vertical="top" wrapText="1"/>
    </xf>
  </cellXfs>
  <cellStyles count="10">
    <cellStyle name="標準" xfId="0" builtinId="0"/>
    <cellStyle name="標準 2" xfId="1"/>
    <cellStyle name="標準_方式設計書(14.開発標準：D03サンプル_自動テスト仕様書：ＤＢアクセス)_V1.00" xfId="2"/>
    <cellStyle name="標準 3" xfId="3"/>
    <cellStyle name="標準 2 2" xfId="4"/>
    <cellStyle name="標準_画面標準" xfId="5"/>
    <cellStyle name="パーセント 2" xfId="6"/>
    <cellStyle name="標準_画面標準定義" xfId="7"/>
    <cellStyle name="標準 12" xfId="8"/>
    <cellStyle name="Normal" xfId="9" builtinId="0" hidden="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2A00FF"/>
      <rgbColor rgb="00FFFF00"/>
      <rgbColor rgb="00FF00FF"/>
      <rgbColor rgb="0000FFFF"/>
      <rgbColor rgb="00800000"/>
      <rgbColor rgb="00008000"/>
      <rgbColor rgb="00000080"/>
      <rgbColor rgb="00808000"/>
      <rgbColor rgb="00800080"/>
      <rgbColor rgb="00008080"/>
      <rgbColor rgb="00B3B3B3"/>
      <rgbColor rgb="00808080"/>
      <rgbColor rgb="0083CA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作成者</author>
  </authors>
  <commentList>
    <comment ref="A10" authorId="0" shapeId="0">
      <text>
        <t>ケースNoは数値で以下の形式で付与する.
　A-B-C
A：詳細が変わったらインクリメント
B：観点が変わったらインクリメント
C：テスト内容が変わったらインクリメント</t>
      </text>
    </comment>
  </commentList>
</comments>
</file>

<file path=xl/comments/comment2.xml><?xml version="1.0" encoding="utf-8"?>
<comments xmlns="http://schemas.openxmlformats.org/spreadsheetml/2006/main">
  <authors>
    <author>作成者</author>
  </authors>
  <commentList>
    <comment ref="A10" authorId="0" shapeId="0">
      <text>
        <t>ケースNoは数値で以下の形式で付与する.
　A-B-C
A：詳細が変わったらインクリメント
B：観点が変わったらインクリメント
C：テスト内容が変わったらインクリメント</t>
      </text>
    </comment>
  </commentList>
</comments>
</file>

<file path=xl/drawings/restored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53375" y="285750"/>
          <a:ext cx="1400175"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restoredDrawing1.xml"/></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xmlns:r="http://schemas.openxmlformats.org/officeDocument/2006/relationships">
  <sheetPr>
    <outlinePr summaryBelow="1" summaryRight="1"/>
    <pageSetUpPr fitToPage="1"/>
  </sheetPr>
  <dimension ref="A1:S38"/>
  <sheetViews>
    <sheetView showGridLines="0" tabSelected="1" view="pageBreakPreview" zoomScaleNormal="100" zoomScaleSheetLayoutView="100" workbookViewId="0">
      <selection activeCell="A1" sqref="A1"/>
    </sheetView>
  </sheetViews>
  <sheetFormatPr baseColWidth="8" defaultColWidth="6.58203125" defaultRowHeight="13"/>
  <cols>
    <col width="8.83203125" customWidth="1" style="1" min="1" max="16384"/>
    <col width="8.83203125" customWidth="1" min="2" max="2"/>
  </cols>
  <sheetData>
    <row r="1" ht="13.5" customHeight="1">
      <c r="A1" s="231" t="n"/>
      <c r="B1" s="232" t="n"/>
      <c r="C1" s="233" t="n"/>
      <c r="D1" s="231" t="n"/>
      <c r="E1" s="231" t="n"/>
      <c r="F1" s="231" t="n"/>
      <c r="G1" s="231" t="n"/>
      <c r="H1" s="231" t="n"/>
      <c r="I1" s="231" t="n"/>
      <c r="J1" s="231" t="n"/>
      <c r="K1" s="231" t="n"/>
      <c r="L1" s="231" t="n"/>
      <c r="M1" s="231" t="n"/>
      <c r="N1" s="231" t="n"/>
      <c r="O1" s="231" t="n"/>
      <c r="P1" s="231" t="n"/>
      <c r="Q1" s="231" t="n"/>
      <c r="R1" s="231" t="n"/>
      <c r="S1" s="231" t="n"/>
    </row>
    <row r="2" ht="19.5" customHeight="1">
      <c r="A2" s="234" t="n"/>
      <c r="B2" s="231" t="n"/>
      <c r="C2" s="231" t="n"/>
      <c r="D2" s="231" t="n"/>
      <c r="E2" s="231" t="n"/>
      <c r="F2" s="231" t="n"/>
      <c r="G2" s="231" t="n"/>
      <c r="H2" s="231" t="n"/>
      <c r="I2" s="231" t="n"/>
      <c r="J2" s="231" t="n"/>
      <c r="K2" s="231" t="n"/>
      <c r="L2" s="231" t="n"/>
      <c r="M2" s="231" t="n"/>
      <c r="N2" s="231" t="n"/>
      <c r="O2" s="231" t="n"/>
      <c r="P2" s="231" t="n"/>
      <c r="Q2" s="231" t="n"/>
      <c r="R2" s="231" t="n"/>
      <c r="S2" s="231" t="n"/>
    </row>
    <row r="3" ht="13.5" customHeight="1">
      <c r="A3" s="231" t="n"/>
      <c r="B3" s="231" t="n"/>
      <c r="C3" s="231" t="n"/>
      <c r="D3" s="231" t="n"/>
      <c r="E3" s="231" t="n"/>
      <c r="F3" s="231" t="n"/>
      <c r="G3" s="231" t="n"/>
      <c r="H3" s="231" t="n"/>
      <c r="I3" s="231" t="n"/>
      <c r="J3" s="231" t="n"/>
      <c r="K3" s="231" t="n"/>
      <c r="L3" s="231" t="n"/>
      <c r="M3" s="231" t="n"/>
      <c r="N3" s="231" t="n"/>
      <c r="O3" s="231" t="n"/>
      <c r="P3" s="231" t="n"/>
      <c r="Q3" s="231" t="n"/>
      <c r="R3" s="231" t="n"/>
      <c r="S3" s="231" t="n"/>
    </row>
    <row r="4" ht="13.5" customHeight="1">
      <c r="A4" s="231" t="n"/>
      <c r="B4" s="231" t="n"/>
      <c r="C4" s="231" t="n"/>
      <c r="D4" s="231" t="n"/>
      <c r="E4" s="231" t="n"/>
      <c r="F4" s="231" t="n"/>
      <c r="G4" s="231" t="n"/>
      <c r="H4" s="231" t="n"/>
      <c r="I4" s="231" t="n"/>
      <c r="J4" s="231" t="n"/>
      <c r="K4" s="231" t="n"/>
      <c r="L4" s="231" t="n"/>
      <c r="M4" s="231" t="n"/>
      <c r="N4" s="231" t="n"/>
      <c r="O4" s="231" t="n"/>
      <c r="P4" s="231" t="n"/>
      <c r="Q4" s="231" t="n"/>
      <c r="R4" s="231" t="n"/>
      <c r="S4" s="231" t="n"/>
    </row>
    <row r="5" ht="13.5" customHeight="1">
      <c r="A5" s="231" t="n"/>
      <c r="B5" s="231" t="n"/>
      <c r="C5" s="231" t="n"/>
      <c r="D5" s="231" t="n"/>
      <c r="E5" s="231" t="n"/>
      <c r="F5" s="231" t="n"/>
      <c r="G5" s="231" t="n"/>
      <c r="H5" s="231" t="n"/>
      <c r="I5" s="231" t="n"/>
      <c r="J5" s="231" t="n"/>
      <c r="K5" s="231" t="n"/>
      <c r="L5" s="231" t="n"/>
      <c r="M5" s="231" t="n"/>
      <c r="N5" s="231" t="n"/>
      <c r="O5" s="231" t="n"/>
      <c r="P5" s="231" t="n"/>
      <c r="Q5" s="231" t="n"/>
      <c r="R5" s="231" t="n"/>
      <c r="S5" s="231" t="n"/>
    </row>
    <row r="6" ht="13.5" customHeight="1">
      <c r="A6" s="231" t="n"/>
      <c r="B6" s="231" t="n"/>
      <c r="C6" s="231" t="n"/>
      <c r="D6" s="231" t="n"/>
      <c r="E6" s="231" t="n"/>
      <c r="F6" s="231" t="n"/>
      <c r="G6" s="231" t="n"/>
      <c r="H6" s="231" t="n"/>
      <c r="I6" s="231" t="n"/>
      <c r="J6" s="231" t="n"/>
      <c r="K6" s="231" t="n"/>
      <c r="L6" s="231" t="n"/>
      <c r="M6" s="231" t="n"/>
      <c r="N6" s="231" t="n"/>
      <c r="O6" s="231" t="n"/>
      <c r="P6" s="231" t="n"/>
      <c r="Q6" s="231" t="n"/>
      <c r="R6" s="231" t="n"/>
      <c r="S6" s="231" t="n"/>
    </row>
    <row r="7" ht="13.5" customHeight="1">
      <c r="A7" s="231" t="n"/>
      <c r="B7" s="231" t="n"/>
      <c r="C7" s="231" t="n"/>
      <c r="D7" s="231" t="n"/>
      <c r="E7" s="231" t="n"/>
      <c r="F7" s="231" t="n"/>
      <c r="G7" s="231" t="n"/>
      <c r="H7" s="231" t="n"/>
      <c r="I7" s="231" t="n"/>
      <c r="J7" s="231" t="n"/>
      <c r="K7" s="231" t="n"/>
      <c r="L7" s="231" t="n"/>
      <c r="M7" s="231" t="n"/>
      <c r="N7" s="231" t="n"/>
      <c r="O7" s="231" t="n"/>
      <c r="P7" s="231" t="n"/>
      <c r="Q7" s="231" t="n"/>
      <c r="R7" s="231" t="n"/>
      <c r="S7" s="231" t="n"/>
    </row>
    <row r="8" ht="13.5" customHeight="1">
      <c r="A8" s="231" t="n"/>
      <c r="B8" s="231" t="n"/>
      <c r="C8" s="231" t="n"/>
      <c r="D8" s="231" t="n"/>
      <c r="E8" s="231" t="n"/>
      <c r="F8" s="231" t="n"/>
      <c r="G8" s="231" t="n"/>
      <c r="H8" s="231" t="n"/>
      <c r="I8" s="231" t="n"/>
      <c r="J8" s="231" t="n"/>
      <c r="K8" s="231" t="n"/>
      <c r="L8" s="231" t="n"/>
      <c r="M8" s="231" t="n"/>
      <c r="N8" s="231" t="n"/>
      <c r="O8" s="231" t="n"/>
      <c r="P8" s="231" t="n"/>
      <c r="Q8" s="231" t="n"/>
      <c r="R8" s="231" t="n"/>
      <c r="S8" s="231" t="n"/>
    </row>
    <row r="9" ht="13.5" customHeight="1">
      <c r="A9" s="231" t="n"/>
      <c r="B9" s="231" t="n"/>
      <c r="C9" s="231" t="n"/>
      <c r="D9" s="231" t="n"/>
      <c r="E9" s="231" t="n"/>
      <c r="F9" s="231" t="n"/>
      <c r="G9" s="231" t="n"/>
      <c r="H9" s="231" t="n"/>
      <c r="I9" s="231" t="n"/>
      <c r="J9" s="231" t="n"/>
      <c r="K9" s="231" t="n"/>
      <c r="L9" s="231" t="n"/>
      <c r="M9" s="231" t="n"/>
      <c r="N9" s="231" t="n"/>
      <c r="O9" s="231" t="n"/>
      <c r="P9" s="231" t="n"/>
      <c r="Q9" s="231" t="n"/>
      <c r="R9" s="231" t="n"/>
      <c r="S9" s="231" t="n"/>
    </row>
    <row r="10" ht="13.5" customHeight="1">
      <c r="A10" s="231" t="n"/>
      <c r="B10" s="231" t="n"/>
      <c r="C10" s="231" t="n"/>
      <c r="D10" s="231" t="n"/>
      <c r="E10" s="231" t="n"/>
      <c r="F10" s="231" t="n"/>
      <c r="G10" s="231" t="n"/>
      <c r="H10" s="231" t="n"/>
      <c r="I10" s="231" t="n"/>
      <c r="J10" s="231" t="n"/>
      <c r="K10" s="231" t="n"/>
      <c r="L10" s="231" t="n"/>
      <c r="M10" s="231" t="n"/>
      <c r="N10" s="231" t="n"/>
      <c r="O10" s="231" t="n"/>
      <c r="P10" s="231" t="n"/>
      <c r="Q10" s="231" t="n"/>
      <c r="R10" s="231" t="n"/>
      <c r="S10" s="231" t="n"/>
    </row>
    <row r="11" ht="13.5" customHeight="1">
      <c r="A11" s="231" t="n"/>
      <c r="B11" s="231" t="n"/>
      <c r="C11" s="231" t="n"/>
      <c r="D11" s="235" t="n"/>
      <c r="E11" s="236" t="n"/>
      <c r="F11" s="236" t="n"/>
      <c r="G11" s="236" t="n"/>
      <c r="H11" s="236" t="n"/>
      <c r="I11" s="236" t="n"/>
      <c r="J11" s="236" t="n"/>
      <c r="K11" s="236" t="n"/>
      <c r="L11" s="236" t="n"/>
      <c r="M11" s="236" t="n"/>
      <c r="N11" s="236" t="n"/>
      <c r="O11" s="236" t="n"/>
      <c r="P11" s="237" t="n"/>
      <c r="Q11" s="231" t="n"/>
      <c r="R11" s="231" t="n"/>
      <c r="S11" s="231" t="n"/>
    </row>
    <row r="12" ht="21" customHeight="1">
      <c r="A12" s="231" t="n"/>
      <c r="B12" s="231" t="n"/>
      <c r="C12" s="231" t="n"/>
      <c r="D12" s="238" t="n"/>
      <c r="E12" s="231" t="n"/>
      <c r="F12" s="231" t="n"/>
      <c r="G12" s="231" t="n"/>
      <c r="H12" s="231" t="n"/>
      <c r="I12" s="231" t="n"/>
      <c r="J12" s="239" t="inlineStr">
        <is>
          <t>[プロジェクト名]</t>
        </is>
      </c>
      <c r="K12" s="231" t="n"/>
      <c r="L12" s="231" t="n"/>
      <c r="M12" s="231" t="n"/>
      <c r="N12" s="231" t="n"/>
      <c r="O12" s="231" t="n"/>
      <c r="P12" s="240" t="n"/>
      <c r="Q12" s="231" t="n"/>
      <c r="R12" s="231" t="n"/>
      <c r="S12" s="231" t="n"/>
    </row>
    <row r="13" ht="13.5" customHeight="1">
      <c r="A13" s="231" t="n"/>
      <c r="B13" s="231" t="n"/>
      <c r="C13" s="231" t="n"/>
      <c r="D13" s="238" t="n"/>
      <c r="E13" s="231" t="n"/>
      <c r="F13" s="231" t="n"/>
      <c r="G13" s="231" t="n"/>
      <c r="H13" s="231" t="n"/>
      <c r="I13" s="231" t="n"/>
      <c r="J13" s="231" t="n"/>
      <c r="K13" s="231" t="n"/>
      <c r="L13" s="231" t="n"/>
      <c r="M13" s="231" t="n"/>
      <c r="N13" s="231" t="n"/>
      <c r="O13" s="231" t="n"/>
      <c r="P13" s="240" t="n"/>
      <c r="Q13" s="231" t="n"/>
      <c r="R13" s="231" t="n"/>
      <c r="S13" s="231" t="n"/>
    </row>
    <row r="14" ht="21" customHeight="1">
      <c r="A14" s="231" t="n"/>
      <c r="B14" s="231" t="n"/>
      <c r="C14" s="231" t="n"/>
      <c r="D14" s="238" t="n"/>
      <c r="E14" s="231" t="n"/>
      <c r="F14" s="231" t="n"/>
      <c r="G14" s="231" t="n"/>
      <c r="H14" s="231" t="n"/>
      <c r="I14" s="231" t="n"/>
      <c r="J14" s="239" t="inlineStr">
        <is>
          <t>単体テスト仕様書(Webサービス)</t>
        </is>
      </c>
      <c r="K14" s="231" t="n"/>
      <c r="L14" s="231" t="n"/>
      <c r="M14" s="231" t="n"/>
      <c r="N14" s="231" t="n"/>
      <c r="O14" s="231" t="n"/>
      <c r="P14" s="240" t="n"/>
      <c r="Q14" s="231" t="n"/>
      <c r="R14" s="231" t="n"/>
      <c r="S14" s="231" t="n"/>
    </row>
    <row r="15" ht="13.5" customHeight="1">
      <c r="A15" s="231" t="n"/>
      <c r="B15" s="231" t="n"/>
      <c r="C15" s="231" t="n"/>
      <c r="D15" s="238" t="n"/>
      <c r="E15" s="231" t="n"/>
      <c r="F15" s="231" t="n"/>
      <c r="G15" s="231" t="n"/>
      <c r="H15" s="231" t="n"/>
      <c r="I15" s="231" t="n"/>
      <c r="J15" s="231" t="n"/>
      <c r="K15" s="231" t="n"/>
      <c r="L15" s="231" t="n"/>
      <c r="M15" s="231" t="n"/>
      <c r="N15" s="231" t="n"/>
      <c r="O15" s="231" t="n"/>
      <c r="P15" s="240" t="n"/>
      <c r="Q15" s="231" t="n"/>
      <c r="R15" s="231" t="n"/>
      <c r="S15" s="231" t="n"/>
    </row>
    <row r="16" ht="21" customHeight="1">
      <c r="A16" s="231" t="n"/>
      <c r="B16" s="231" t="n"/>
      <c r="C16" s="231" t="n"/>
      <c r="D16" s="238" t="n"/>
      <c r="E16" s="231" t="n"/>
      <c r="F16" s="231" t="n"/>
      <c r="G16" s="231" t="n"/>
      <c r="H16" s="231" t="n"/>
      <c r="I16" s="231" t="n"/>
      <c r="J16" s="239" t="inlineStr">
        <is>
          <t>[サブシステム名]</t>
        </is>
      </c>
      <c r="K16" s="231" t="n"/>
      <c r="L16" s="231" t="n"/>
      <c r="M16" s="231" t="n"/>
      <c r="N16" s="231" t="n"/>
      <c r="O16" s="231" t="n"/>
      <c r="P16" s="240" t="n"/>
      <c r="Q16" s="231" t="n"/>
      <c r="R16" s="231" t="n"/>
      <c r="S16" s="231" t="n"/>
    </row>
    <row r="17" ht="13.5" customHeight="1">
      <c r="A17" s="231" t="n"/>
      <c r="B17" s="231" t="n"/>
      <c r="C17" s="231" t="n"/>
      <c r="D17" s="241" t="n"/>
      <c r="E17" s="242" t="n"/>
      <c r="F17" s="242" t="n"/>
      <c r="G17" s="242" t="n"/>
      <c r="H17" s="242" t="n"/>
      <c r="I17" s="242" t="n"/>
      <c r="J17" s="242" t="n"/>
      <c r="K17" s="242" t="n"/>
      <c r="L17" s="242" t="n"/>
      <c r="M17" s="242" t="n"/>
      <c r="N17" s="242" t="n"/>
      <c r="O17" s="242" t="n"/>
      <c r="P17" s="243" t="n"/>
      <c r="Q17" s="231" t="n"/>
      <c r="R17" s="231" t="n"/>
      <c r="S17" s="231" t="n"/>
    </row>
    <row r="18" ht="13.5" customHeight="1">
      <c r="A18" s="231" t="n"/>
      <c r="B18" s="231" t="n"/>
      <c r="C18" s="231" t="n"/>
      <c r="D18" s="231" t="n"/>
      <c r="E18" s="231" t="n"/>
      <c r="F18" s="231" t="n"/>
      <c r="G18" s="231" t="n"/>
      <c r="H18" s="231" t="n"/>
      <c r="I18" s="231" t="n"/>
      <c r="J18" s="231" t="n"/>
      <c r="K18" s="231" t="n"/>
      <c r="L18" s="231" t="n"/>
      <c r="M18" s="231" t="n"/>
      <c r="N18" s="231" t="n"/>
      <c r="O18" s="231" t="n"/>
      <c r="P18" s="231" t="n"/>
      <c r="Q18" s="231" t="n"/>
      <c r="R18" s="231" t="n"/>
      <c r="S18" s="231" t="n"/>
    </row>
    <row r="19" ht="17.25" customHeight="1">
      <c r="A19" s="231" t="n"/>
      <c r="B19" s="231" t="n"/>
      <c r="C19" s="231" t="n"/>
      <c r="D19" s="231" t="n"/>
      <c r="E19" s="231" t="n"/>
      <c r="F19" s="231" t="n"/>
      <c r="G19" s="231" t="n"/>
      <c r="H19" s="231" t="n"/>
      <c r="I19" s="231" t="n"/>
      <c r="J19" s="244" t="inlineStr">
        <is>
          <t>第１．０版</t>
        </is>
      </c>
      <c r="K19" s="231" t="n"/>
      <c r="L19" s="231" t="n"/>
      <c r="M19" s="231" t="n"/>
      <c r="N19" s="231" t="n"/>
      <c r="O19" s="231" t="n"/>
      <c r="P19" s="231" t="n"/>
      <c r="Q19" s="231" t="n"/>
      <c r="R19" s="231" t="n"/>
      <c r="S19" s="231" t="n"/>
    </row>
    <row r="20" ht="13.5" customHeight="1">
      <c r="A20" s="231" t="n"/>
      <c r="B20" s="231" t="n"/>
      <c r="C20" s="231" t="n"/>
      <c r="D20" s="231" t="n"/>
      <c r="E20" s="231" t="n"/>
      <c r="F20" s="231" t="n"/>
      <c r="G20" s="231" t="n"/>
      <c r="H20" s="231" t="n"/>
      <c r="I20" s="231" t="n"/>
      <c r="J20" s="231" t="n"/>
      <c r="K20" s="231" t="n"/>
      <c r="L20" s="231" t="n"/>
      <c r="M20" s="231" t="n"/>
      <c r="N20" s="231" t="n"/>
      <c r="O20" s="231" t="n"/>
      <c r="P20" s="231" t="n"/>
      <c r="Q20" s="231" t="n"/>
      <c r="R20" s="231" t="n"/>
      <c r="S20" s="231" t="n"/>
    </row>
    <row r="21" ht="18" customHeight="1">
      <c r="A21" s="231" t="n"/>
      <c r="B21" s="231" t="n"/>
      <c r="C21" s="231" t="n"/>
      <c r="D21" s="231" t="n"/>
      <c r="E21" s="231" t="n"/>
      <c r="F21" s="231" t="n"/>
      <c r="G21" s="231" t="n"/>
      <c r="H21" s="231" t="n"/>
      <c r="I21" s="245">
        <f>IF(INDIRECT("変更履歴!D8")="","",MAX(INDIRECT("変更履歴!D8"):INDIRECT("変更履歴!F33")))</f>
        <v/>
      </c>
      <c r="L21" s="231" t="n"/>
      <c r="M21" s="231" t="n"/>
      <c r="N21" s="231" t="n"/>
      <c r="O21" s="231" t="n"/>
      <c r="P21" s="231" t="n"/>
      <c r="Q21" s="231" t="n"/>
      <c r="R21" s="231" t="n"/>
      <c r="S21" s="231" t="n"/>
    </row>
    <row r="22" ht="13.5" customHeight="1">
      <c r="A22" s="231" t="n"/>
      <c r="B22" s="231" t="n"/>
      <c r="C22" s="231" t="n"/>
      <c r="D22" s="231" t="n"/>
      <c r="E22" s="231" t="n"/>
      <c r="F22" s="246" t="n"/>
      <c r="G22" s="231" t="n"/>
      <c r="H22" s="246" t="n"/>
      <c r="I22" s="231" t="n"/>
      <c r="J22" s="231" t="n"/>
      <c r="K22" s="231" t="n"/>
      <c r="L22" s="231" t="n"/>
      <c r="M22" s="231" t="n"/>
      <c r="N22" s="231" t="n"/>
      <c r="O22" s="231" t="n"/>
      <c r="P22" s="231" t="n"/>
      <c r="Q22" s="231" t="n"/>
      <c r="R22" s="231" t="n"/>
      <c r="S22" s="231" t="n"/>
    </row>
    <row r="23" ht="13.5" customHeight="1">
      <c r="A23" s="231" t="n"/>
      <c r="B23" s="231" t="n"/>
      <c r="C23" s="231" t="n"/>
      <c r="D23" s="231" t="n"/>
      <c r="E23" s="231" t="n"/>
      <c r="F23" s="246" t="n"/>
      <c r="G23" s="246" t="n"/>
      <c r="H23" s="247" t="n"/>
      <c r="I23" s="248" t="n"/>
      <c r="J23" s="231">
        <f>IF(INDIRECT("変更履歴!E1")&lt;&gt;"",INDIRECT("変更履歴!E1"),"")</f>
        <v/>
      </c>
      <c r="K23" s="248" t="n"/>
      <c r="L23" s="248" t="n"/>
      <c r="M23" s="231" t="n"/>
      <c r="N23" s="231" t="n"/>
      <c r="O23" s="231" t="n"/>
      <c r="P23" s="231" t="n"/>
      <c r="Q23" s="231" t="n"/>
      <c r="R23" s="231" t="n"/>
      <c r="S23" s="231" t="n"/>
    </row>
    <row r="24" ht="13.5" customHeight="1">
      <c r="A24" s="231" t="n"/>
      <c r="B24" s="231" t="n"/>
      <c r="C24" s="231" t="n"/>
      <c r="D24" s="231" t="n"/>
      <c r="E24" s="231" t="n"/>
      <c r="F24" s="246" t="n"/>
      <c r="G24" s="246" t="n"/>
      <c r="H24" s="246" t="n"/>
      <c r="I24" s="248" t="n"/>
      <c r="J24" s="248" t="n"/>
      <c r="K24" s="248" t="n"/>
      <c r="L24" s="248" t="n"/>
      <c r="M24" s="231" t="n"/>
      <c r="N24" s="231" t="n"/>
      <c r="O24" s="231" t="n"/>
      <c r="P24" s="231" t="n"/>
      <c r="Q24" s="231" t="n"/>
      <c r="R24" s="231" t="n"/>
      <c r="S24" s="231" t="n"/>
    </row>
    <row r="25" ht="15" customHeight="1">
      <c r="A25" s="231" t="n"/>
      <c r="B25" s="231" t="n"/>
      <c r="C25" s="231" t="n"/>
      <c r="D25" s="231" t="n"/>
      <c r="E25" s="231" t="n"/>
      <c r="F25" s="246" t="n"/>
      <c r="G25" s="246" t="n"/>
      <c r="H25" s="247" t="n"/>
      <c r="I25" s="249" t="n"/>
      <c r="J25" s="231">
        <f>IF(INDIRECT("変更履歴!E3")&lt;&gt;"",INDIRECT("変更履歴!E3"),"")</f>
        <v/>
      </c>
      <c r="K25" s="231" t="n"/>
      <c r="L25" s="248" t="n"/>
      <c r="M25" s="231" t="n"/>
      <c r="N25" s="231" t="n"/>
      <c r="O25" s="231" t="n"/>
      <c r="P25" s="231" t="n"/>
      <c r="Q25" s="231" t="n"/>
      <c r="R25" s="231" t="n"/>
      <c r="S25" s="231" t="n"/>
    </row>
    <row r="26" ht="13.5" customHeight="1">
      <c r="A26" s="231" t="n"/>
      <c r="B26" s="231" t="n"/>
      <c r="C26" s="231" t="n"/>
      <c r="D26" s="231" t="n"/>
      <c r="E26" s="231" t="n"/>
      <c r="F26" s="246" t="n"/>
      <c r="G26" s="246" t="n"/>
      <c r="H26" s="246" t="n"/>
      <c r="I26" s="248" t="n"/>
      <c r="J26" s="248" t="n"/>
      <c r="K26" s="248" t="n"/>
      <c r="L26" s="248" t="n"/>
      <c r="M26" s="231" t="n"/>
      <c r="N26" s="231" t="n"/>
      <c r="O26" s="231" t="n"/>
      <c r="P26" s="231" t="n"/>
      <c r="Q26" s="231" t="n"/>
      <c r="R26" s="231" t="n"/>
      <c r="S26" s="231" t="n"/>
    </row>
    <row r="27" ht="18.75" customHeight="1">
      <c r="A27" s="231" t="n"/>
      <c r="B27" s="231" t="n"/>
      <c r="C27" s="231" t="n"/>
      <c r="D27" s="231" t="n"/>
      <c r="E27" s="231" t="n"/>
      <c r="F27" s="246" t="n"/>
      <c r="G27" s="246" t="n"/>
      <c r="H27" s="247" t="n"/>
      <c r="I27" s="248" t="n"/>
      <c r="J27" s="248" t="n"/>
      <c r="K27" s="248" t="n"/>
      <c r="L27" s="248" t="n"/>
      <c r="M27" s="231" t="n"/>
      <c r="N27" s="231" t="n"/>
      <c r="O27" s="231" t="n"/>
      <c r="P27" s="231" t="n"/>
      <c r="Q27" s="231" t="n"/>
      <c r="R27" s="231" t="n"/>
      <c r="S27" s="231" t="n"/>
    </row>
    <row r="28" ht="18.75" customHeight="1">
      <c r="A28" s="231" t="n"/>
      <c r="B28" s="231" t="n"/>
      <c r="C28" s="231" t="n"/>
      <c r="D28" s="231" t="n"/>
      <c r="E28" s="231" t="n"/>
      <c r="F28" s="250" t="n"/>
      <c r="G28" s="246" t="n"/>
      <c r="H28" s="246" t="n"/>
      <c r="I28" s="248" t="n"/>
      <c r="J28" s="251" t="inlineStr">
        <is>
          <t>[会社名]</t>
        </is>
      </c>
      <c r="K28" s="248" t="n"/>
      <c r="L28" s="248" t="n"/>
      <c r="M28" s="231" t="n"/>
      <c r="N28" s="231" t="n"/>
      <c r="O28" s="231" t="n"/>
      <c r="P28" s="231" t="n"/>
      <c r="Q28" s="231" t="n"/>
      <c r="R28" s="231" t="n"/>
      <c r="S28" s="231" t="n"/>
    </row>
    <row r="29" ht="18.75" customHeight="1">
      <c r="A29" s="231" t="n"/>
      <c r="B29" s="231" t="n"/>
      <c r="C29" s="231" t="n"/>
      <c r="D29" s="231" t="n"/>
      <c r="E29" s="231" t="n"/>
      <c r="F29" s="246" t="n"/>
      <c r="G29" s="231" t="n"/>
      <c r="H29" s="247" t="n"/>
      <c r="I29" s="248" t="n"/>
      <c r="J29" s="248" t="n"/>
      <c r="K29" s="248" t="n"/>
      <c r="L29" s="248" t="n"/>
      <c r="M29" s="231" t="n"/>
      <c r="N29" s="231" t="n"/>
      <c r="O29" s="231" t="n"/>
      <c r="P29" s="231" t="n"/>
      <c r="Q29" s="231" t="n"/>
      <c r="R29" s="231" t="n"/>
      <c r="S29" s="231" t="n"/>
    </row>
    <row r="30" ht="18.75" customHeight="1">
      <c r="A30" s="231" t="n"/>
      <c r="B30" s="231" t="n"/>
      <c r="C30" s="231" t="n"/>
      <c r="D30" s="231" t="n"/>
      <c r="E30" s="231" t="n"/>
      <c r="F30" s="246" t="n"/>
      <c r="G30" s="246" t="n"/>
      <c r="H30" s="246" t="n"/>
      <c r="I30" s="248" t="n"/>
      <c r="J30" s="251" t="inlineStr">
        <is>
          <t>[部門名]</t>
        </is>
      </c>
      <c r="K30" s="248" t="n"/>
      <c r="L30" s="248" t="n"/>
      <c r="M30" s="231" t="n"/>
      <c r="N30" s="231" t="n"/>
      <c r="O30" s="231" t="n"/>
      <c r="P30" s="231" t="n"/>
      <c r="Q30" s="231" t="n"/>
      <c r="R30" s="231" t="n"/>
      <c r="S30" s="231" t="n"/>
    </row>
    <row r="31" ht="13.5" customHeight="1">
      <c r="A31" s="231" t="n"/>
      <c r="B31" s="231" t="n"/>
      <c r="C31" s="231" t="n"/>
      <c r="D31" s="231" t="n"/>
      <c r="E31" s="231" t="n"/>
      <c r="F31" s="246" t="n"/>
      <c r="G31" s="246" t="n"/>
      <c r="H31" s="246" t="n"/>
      <c r="I31" s="248" t="n"/>
      <c r="J31" s="248" t="n"/>
      <c r="K31" s="248" t="n"/>
      <c r="L31" s="248" t="n"/>
      <c r="M31" s="231" t="n"/>
      <c r="N31" s="231" t="n"/>
      <c r="O31" s="231" t="n"/>
      <c r="P31" s="231" t="n"/>
      <c r="Q31" s="231" t="n"/>
      <c r="R31" s="231" t="n"/>
      <c r="S31" s="231" t="n"/>
    </row>
    <row r="32" ht="18.75" customHeight="1">
      <c r="A32" s="231" t="n"/>
      <c r="B32" s="231" t="n"/>
      <c r="C32" s="231" t="n"/>
      <c r="D32" s="231" t="n"/>
      <c r="E32" s="231" t="n"/>
      <c r="F32" s="246" t="n"/>
      <c r="G32" s="246" t="n"/>
      <c r="H32" s="246" t="n"/>
      <c r="I32" s="248" t="n"/>
      <c r="J32" s="251" t="n"/>
      <c r="K32" s="248" t="n"/>
      <c r="L32" s="248" t="n"/>
      <c r="M32" s="231" t="n"/>
      <c r="N32" s="231" t="n"/>
      <c r="O32" s="231" t="n"/>
      <c r="P32" s="231" t="n"/>
      <c r="Q32" s="231" t="n"/>
      <c r="R32" s="231" t="n"/>
      <c r="S32" s="231" t="n"/>
    </row>
    <row r="33" ht="18.75" customHeight="1">
      <c r="A33" s="231" t="n"/>
      <c r="B33" s="231" t="n"/>
      <c r="C33" s="231" t="n"/>
      <c r="D33" s="231" t="n"/>
      <c r="E33" s="231" t="n"/>
      <c r="F33" s="246" t="n"/>
      <c r="G33" s="231" t="n"/>
      <c r="H33" s="246" t="n"/>
      <c r="I33" s="248" t="n"/>
      <c r="J33" s="252" t="n"/>
      <c r="K33" s="248" t="n"/>
      <c r="L33" s="252" t="n"/>
      <c r="M33" s="253" t="n"/>
      <c r="N33" s="252" t="n"/>
      <c r="O33" s="252" t="n"/>
      <c r="P33" s="252" t="n"/>
      <c r="Q33" s="231" t="n"/>
      <c r="R33" s="231" t="n"/>
      <c r="S33" s="231" t="n"/>
    </row>
    <row r="34" ht="18.75" customHeight="1">
      <c r="A34" s="231" t="n"/>
      <c r="B34" s="231" t="n"/>
      <c r="C34" s="231" t="n"/>
      <c r="D34" s="231" t="n"/>
      <c r="E34" s="231" t="n"/>
      <c r="F34" s="246" t="n"/>
      <c r="G34" s="231" t="n"/>
      <c r="H34" s="246" t="n"/>
      <c r="I34" s="248" t="n"/>
      <c r="J34" s="251" t="n"/>
      <c r="K34" s="248" t="n"/>
      <c r="L34" s="252" t="n"/>
      <c r="M34" s="252" t="n"/>
      <c r="N34" s="252" t="n"/>
      <c r="O34" s="252" t="n"/>
      <c r="P34" s="252" t="n"/>
      <c r="Q34" s="254" t="n"/>
      <c r="R34" s="255" t="n"/>
      <c r="S34" s="255" t="n"/>
    </row>
    <row r="35" ht="13.5" customHeight="1">
      <c r="A35" s="231" t="n"/>
      <c r="B35" s="231" t="n"/>
      <c r="C35" s="231" t="n"/>
      <c r="D35" s="231" t="n"/>
      <c r="E35" s="231" t="n"/>
      <c r="F35" s="231" t="n"/>
      <c r="G35" s="231" t="n"/>
      <c r="H35" s="231" t="n"/>
      <c r="I35" s="231" t="n"/>
      <c r="J35" s="231" t="n"/>
      <c r="K35" s="231" t="n"/>
      <c r="L35" s="231" t="n"/>
      <c r="M35" s="231" t="n"/>
      <c r="N35" s="231" t="n"/>
      <c r="O35" s="252" t="n"/>
      <c r="P35" s="252" t="n"/>
      <c r="Q35" s="255" t="n"/>
      <c r="R35" s="255" t="n"/>
      <c r="S35" s="255" t="n"/>
    </row>
    <row r="36" ht="13.5" customHeight="1">
      <c r="A36" s="231" t="n"/>
      <c r="B36" s="231" t="n"/>
      <c r="C36" s="231" t="n"/>
      <c r="D36" s="231" t="n"/>
      <c r="E36" s="231" t="n"/>
      <c r="F36" s="231" t="n"/>
      <c r="G36" s="231" t="n"/>
      <c r="H36" s="231" t="n"/>
      <c r="I36" s="231" t="n"/>
      <c r="J36" s="231" t="n"/>
      <c r="K36" s="231" t="n"/>
      <c r="L36" s="231" t="n"/>
      <c r="M36" s="231" t="n"/>
      <c r="N36" s="231" t="n"/>
      <c r="O36" s="231" t="n"/>
      <c r="P36" s="231" t="n"/>
      <c r="Q36" s="231" t="n"/>
      <c r="R36" s="231" t="n"/>
      <c r="S36" s="231" t="n"/>
    </row>
    <row r="37" ht="13.5" customHeight="1">
      <c r="A37" s="231" t="n"/>
      <c r="B37" s="231" t="n"/>
      <c r="C37" s="231" t="n"/>
      <c r="D37" s="231" t="n"/>
      <c r="E37" s="231" t="n"/>
      <c r="F37" s="231" t="n"/>
      <c r="G37" s="231" t="n"/>
      <c r="H37" s="231" t="n"/>
      <c r="I37" s="231" t="n"/>
      <c r="J37" s="231" t="n"/>
      <c r="K37" s="231" t="n"/>
      <c r="L37" s="231" t="n"/>
      <c r="M37" s="231" t="n"/>
      <c r="N37" s="231" t="n"/>
      <c r="O37" s="231" t="n"/>
      <c r="P37" s="231" t="n"/>
      <c r="Q37" s="231" t="n"/>
      <c r="R37" s="231" t="n"/>
      <c r="S37" s="231" t="n"/>
    </row>
    <row r="38" ht="13.5" customHeight="1">
      <c r="A38" s="231" t="n"/>
      <c r="B38" s="231" t="n"/>
      <c r="C38" s="231" t="n"/>
      <c r="D38" s="231" t="n"/>
      <c r="E38" s="231" t="n"/>
      <c r="F38" s="231" t="n"/>
      <c r="G38" s="231" t="n"/>
      <c r="H38" s="231" t="n"/>
      <c r="I38" s="231" t="n"/>
      <c r="J38" s="231" t="n"/>
      <c r="K38" s="231" t="n"/>
      <c r="L38" s="231" t="n"/>
      <c r="M38" s="231" t="n"/>
      <c r="N38" s="231" t="n"/>
      <c r="O38" s="231" t="n"/>
      <c r="P38" s="231" t="n"/>
      <c r="Q38" s="231" t="n"/>
      <c r="R38" s="231" t="n"/>
      <c r="S38" s="231" t="n"/>
    </row>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sheetData>
  <mergeCells count="1">
    <mergeCell ref="I21:K21"/>
  </mergeCells>
  <printOptions horizontalCentered="1"/>
  <pageMargins left="0.3937007874015748" right="0.3937007874015748" top="0.3937007874015748" bottom="0.3937007874015748" header="0.1968503937007874" footer="0.1968503937007874"/>
  <pageSetup orientation="landscape" paperSize="9" fitToHeight="0" verticalDpi="300"/>
  <drawing r:id="rId1"/>
</worksheet>
</file>

<file path=xl/worksheets/sheet2.xml><?xml version="1.0" encoding="utf-8"?>
<worksheet xmlns="http://schemas.openxmlformats.org/spreadsheetml/2006/main">
  <sheetPr>
    <outlinePr summaryBelow="1" summaryRight="1"/>
    <pageSetUpPr fitToPage="1"/>
  </sheetPr>
  <dimension ref="A1:AN34"/>
  <sheetViews>
    <sheetView showGridLines="0" view="pageBreakPreview" zoomScaleNormal="100" zoomScaleSheetLayoutView="100" workbookViewId="0">
      <selection activeCell="A1" sqref="A1:D1"/>
    </sheetView>
  </sheetViews>
  <sheetFormatPr baseColWidth="8" defaultColWidth="3.58203125" defaultRowHeight="11"/>
  <cols>
    <col width="3.58203125" customWidth="1" style="11" min="1" max="16384"/>
  </cols>
  <sheetData>
    <row r="1" ht="12" customFormat="1" customHeight="1" s="22">
      <c r="A1" s="256" t="inlineStr">
        <is>
          <t>PJ名</t>
        </is>
      </c>
      <c r="B1" s="257" t="n"/>
      <c r="C1" s="257" t="n"/>
      <c r="D1" s="258" t="n"/>
      <c r="E1" s="259" t="n"/>
      <c r="F1" s="257" t="n"/>
      <c r="G1" s="257" t="n"/>
      <c r="H1" s="257" t="n"/>
      <c r="I1" s="257" t="n"/>
      <c r="J1" s="257" t="n"/>
      <c r="K1" s="257" t="n"/>
      <c r="L1" s="257" t="n"/>
      <c r="M1" s="257" t="n"/>
      <c r="N1" s="258" t="n"/>
      <c r="O1" s="256" t="inlineStr">
        <is>
          <t>成果物名</t>
        </is>
      </c>
      <c r="P1" s="260" t="n"/>
      <c r="Q1" s="260" t="n"/>
      <c r="R1" s="261" t="n"/>
      <c r="S1" s="262" t="inlineStr">
        <is>
          <t>単体テスト仕様書(Webサービス)</t>
        </is>
      </c>
      <c r="T1" s="260" t="n"/>
      <c r="U1" s="260" t="n"/>
      <c r="V1" s="260" t="n"/>
      <c r="W1" s="260" t="n"/>
      <c r="X1" s="260" t="n"/>
      <c r="Y1" s="260" t="n"/>
      <c r="Z1" s="261" t="n"/>
      <c r="AA1" s="256" t="inlineStr">
        <is>
          <t>作成</t>
        </is>
      </c>
      <c r="AB1" s="258" t="n"/>
      <c r="AC1" s="263">
        <f>IF(AF8="","",AF8)</f>
        <v/>
      </c>
      <c r="AD1" s="257" t="n"/>
      <c r="AE1" s="257" t="n"/>
      <c r="AF1" s="258" t="n"/>
      <c r="AG1" s="264">
        <f>IF(D8="","",D8)</f>
        <v/>
      </c>
      <c r="AH1" s="257" t="n"/>
      <c r="AI1" s="258" t="n"/>
      <c r="AJ1" s="23" t="n"/>
      <c r="AK1" s="23" t="n"/>
      <c r="AL1" s="23" t="n"/>
      <c r="AM1" s="23" t="n"/>
      <c r="AN1" s="24" t="n"/>
    </row>
    <row r="2" ht="12" customFormat="1" customHeight="1" s="22">
      <c r="A2" s="256" t="inlineStr">
        <is>
          <t>システム名</t>
        </is>
      </c>
      <c r="B2" s="257" t="n"/>
      <c r="C2" s="257" t="n"/>
      <c r="D2" s="258" t="n"/>
      <c r="E2" s="259" t="n"/>
      <c r="F2" s="257" t="n"/>
      <c r="G2" s="257" t="n"/>
      <c r="H2" s="257" t="n"/>
      <c r="I2" s="257" t="n"/>
      <c r="J2" s="257" t="n"/>
      <c r="K2" s="257" t="n"/>
      <c r="L2" s="257" t="n"/>
      <c r="M2" s="257" t="n"/>
      <c r="N2" s="258" t="n"/>
      <c r="O2" s="265" t="n"/>
      <c r="R2" s="266" t="n"/>
      <c r="S2" s="265" t="n"/>
      <c r="Z2" s="266" t="n"/>
      <c r="AA2" s="256" t="inlineStr">
        <is>
          <t>変更</t>
        </is>
      </c>
      <c r="AB2" s="258" t="n"/>
      <c r="AC2" s="267">
        <f>IF(COUNTA(AF9:AF33)&lt;&gt;0,INDIRECT("AF"&amp;(COUNTA(AF9:AF33)+8)),"")</f>
        <v/>
      </c>
      <c r="AD2" s="257" t="n"/>
      <c r="AE2" s="257" t="n"/>
      <c r="AF2" s="258" t="n"/>
      <c r="AG2" s="264">
        <f>IF(D9="","",MAX(D9:F33))</f>
        <v/>
      </c>
      <c r="AH2" s="257" t="n"/>
      <c r="AI2" s="258" t="n"/>
      <c r="AJ2" s="23" t="n"/>
      <c r="AK2" s="23" t="n"/>
      <c r="AL2" s="23" t="n"/>
      <c r="AM2" s="23" t="n"/>
      <c r="AN2" s="23" t="n"/>
    </row>
    <row r="3" ht="12" customFormat="1" customHeight="1" s="22">
      <c r="A3" s="256" t="inlineStr">
        <is>
          <t>サブシステム名</t>
        </is>
      </c>
      <c r="B3" s="257" t="n"/>
      <c r="C3" s="257" t="n"/>
      <c r="D3" s="258" t="n"/>
      <c r="E3" s="259" t="n"/>
      <c r="F3" s="257" t="n"/>
      <c r="G3" s="257" t="n"/>
      <c r="H3" s="257" t="n"/>
      <c r="I3" s="257" t="n"/>
      <c r="J3" s="257" t="n"/>
      <c r="K3" s="257" t="n"/>
      <c r="L3" s="257" t="n"/>
      <c r="M3" s="257" t="n"/>
      <c r="N3" s="258" t="n"/>
      <c r="O3" s="268" t="n"/>
      <c r="P3" s="269" t="n"/>
      <c r="Q3" s="269" t="n"/>
      <c r="R3" s="270" t="n"/>
      <c r="S3" s="268" t="n"/>
      <c r="T3" s="269" t="n"/>
      <c r="U3" s="269" t="n"/>
      <c r="V3" s="269" t="n"/>
      <c r="W3" s="269" t="n"/>
      <c r="X3" s="269" t="n"/>
      <c r="Y3" s="269" t="n"/>
      <c r="Z3" s="270" t="n"/>
      <c r="AA3" s="256" t="n"/>
      <c r="AB3" s="258" t="n"/>
      <c r="AC3" s="263" t="n"/>
      <c r="AD3" s="257" t="n"/>
      <c r="AE3" s="257" t="n"/>
      <c r="AF3" s="258" t="n"/>
      <c r="AG3" s="264" t="n"/>
      <c r="AH3" s="257" t="n"/>
      <c r="AI3" s="258" t="n"/>
      <c r="AJ3" s="23" t="n"/>
      <c r="AK3" s="23" t="n"/>
      <c r="AL3" s="23" t="n"/>
      <c r="AM3" s="23" t="n"/>
      <c r="AN3" s="23" t="n"/>
    </row>
    <row r="5" ht="22.5" customFormat="1" customHeight="1" s="22">
      <c r="N5" s="21" t="inlineStr">
        <is>
          <t>変更履歴（ 1　/ 1 ）</t>
        </is>
      </c>
      <c r="AA5" s="18" t="n"/>
      <c r="AB5" s="18" t="n"/>
      <c r="AC5" s="20" t="n"/>
      <c r="AD5" s="19" t="n"/>
      <c r="AE5" s="19" t="n"/>
      <c r="AF5" s="19" t="n"/>
      <c r="AG5" s="18" t="n"/>
      <c r="AH5" s="18" t="n"/>
      <c r="AI5" s="18" t="n"/>
    </row>
    <row r="6" ht="15" customFormat="1" customHeight="1" s="22">
      <c r="N6" s="21" t="n"/>
      <c r="AA6" s="18" t="n"/>
      <c r="AB6" s="18" t="n"/>
      <c r="AC6" s="20" t="n"/>
      <c r="AD6" s="19" t="n"/>
      <c r="AE6" s="19" t="n"/>
      <c r="AF6" s="19" t="n"/>
      <c r="AG6" s="18" t="n"/>
      <c r="AH6" s="18" t="n"/>
      <c r="AI6" s="18" t="n"/>
    </row>
    <row r="7" ht="15" customFormat="1" customHeight="1" s="13" thickBot="1">
      <c r="A7" s="16" t="inlineStr">
        <is>
          <t>No.</t>
        </is>
      </c>
      <c r="B7" s="271" t="inlineStr">
        <is>
          <t>版数</t>
        </is>
      </c>
      <c r="C7" s="261" t="n"/>
      <c r="D7" s="271" t="inlineStr">
        <is>
          <t>変更日</t>
        </is>
      </c>
      <c r="E7" s="260" t="n"/>
      <c r="F7" s="261" t="n"/>
      <c r="G7" s="271" t="inlineStr">
        <is>
          <t>区分</t>
        </is>
      </c>
      <c r="H7" s="260" t="n"/>
      <c r="I7" s="261" t="n"/>
      <c r="J7" s="271" t="inlineStr">
        <is>
          <t>変更箇所（項番等）</t>
        </is>
      </c>
      <c r="K7" s="260" t="n"/>
      <c r="L7" s="260" t="n"/>
      <c r="M7" s="260" t="n"/>
      <c r="N7" s="260" t="n"/>
      <c r="O7" s="260" t="n"/>
      <c r="P7" s="261" t="n"/>
      <c r="Q7" s="271" t="inlineStr">
        <is>
          <t>変更内容</t>
        </is>
      </c>
      <c r="R7" s="260" t="n"/>
      <c r="S7" s="260" t="n"/>
      <c r="T7" s="260" t="n"/>
      <c r="U7" s="260" t="n"/>
      <c r="V7" s="260" t="n"/>
      <c r="W7" s="260" t="n"/>
      <c r="X7" s="260" t="n"/>
      <c r="Y7" s="260" t="n"/>
      <c r="Z7" s="260" t="n"/>
      <c r="AA7" s="260" t="n"/>
      <c r="AB7" s="260" t="n"/>
      <c r="AC7" s="260" t="n"/>
      <c r="AD7" s="260" t="n"/>
      <c r="AE7" s="261" t="n"/>
      <c r="AF7" s="271" t="inlineStr">
        <is>
          <t>担当者</t>
        </is>
      </c>
      <c r="AG7" s="260" t="n"/>
      <c r="AH7" s="260" t="n"/>
      <c r="AI7" s="261" t="n"/>
    </row>
    <row r="8" ht="15" customFormat="1" customHeight="1" s="13" thickTop="1">
      <c r="A8" s="15" t="n"/>
      <c r="B8" s="272" t="n"/>
      <c r="C8" s="273" t="n"/>
      <c r="D8" s="274" t="n"/>
      <c r="E8" s="275" t="n"/>
      <c r="F8" s="273" t="n"/>
      <c r="G8" s="276" t="n"/>
      <c r="H8" s="275" t="n"/>
      <c r="I8" s="273" t="n"/>
      <c r="J8" s="277" t="n"/>
      <c r="K8" s="275" t="n"/>
      <c r="L8" s="275" t="n"/>
      <c r="M8" s="275" t="n"/>
      <c r="N8" s="275" t="n"/>
      <c r="O8" s="275" t="n"/>
      <c r="P8" s="273" t="n"/>
      <c r="Q8" s="278" t="n"/>
      <c r="R8" s="275" t="n"/>
      <c r="S8" s="275" t="n"/>
      <c r="T8" s="275" t="n"/>
      <c r="U8" s="275" t="n"/>
      <c r="V8" s="275" t="n"/>
      <c r="W8" s="275" t="n"/>
      <c r="X8" s="275" t="n"/>
      <c r="Y8" s="275" t="n"/>
      <c r="Z8" s="275" t="n"/>
      <c r="AA8" s="275" t="n"/>
      <c r="AB8" s="275" t="n"/>
      <c r="AC8" s="275" t="n"/>
      <c r="AD8" s="275" t="n"/>
      <c r="AE8" s="273" t="n"/>
      <c r="AF8" s="277" t="n"/>
      <c r="AG8" s="275" t="n"/>
      <c r="AH8" s="275" t="n"/>
      <c r="AI8" s="273" t="n"/>
    </row>
    <row r="9" ht="15" customFormat="1" customHeight="1" s="13">
      <c r="A9" s="14" t="n"/>
      <c r="B9" s="279" t="n"/>
      <c r="C9" s="258" t="n"/>
      <c r="D9" s="280" t="n"/>
      <c r="E9" s="257" t="n"/>
      <c r="F9" s="258" t="n"/>
      <c r="G9" s="280" t="n"/>
      <c r="H9" s="257" t="n"/>
      <c r="I9" s="258" t="n"/>
      <c r="J9" s="281" t="n"/>
      <c r="K9" s="257" t="n"/>
      <c r="L9" s="257" t="n"/>
      <c r="M9" s="257" t="n"/>
      <c r="N9" s="257" t="n"/>
      <c r="O9" s="257" t="n"/>
      <c r="P9" s="258" t="n"/>
      <c r="Q9" s="282" t="n"/>
      <c r="R9" s="257" t="n"/>
      <c r="S9" s="257" t="n"/>
      <c r="T9" s="257" t="n"/>
      <c r="U9" s="257" t="n"/>
      <c r="V9" s="257" t="n"/>
      <c r="W9" s="257" t="n"/>
      <c r="X9" s="257" t="n"/>
      <c r="Y9" s="257" t="n"/>
      <c r="Z9" s="257" t="n"/>
      <c r="AA9" s="257" t="n"/>
      <c r="AB9" s="257" t="n"/>
      <c r="AC9" s="257" t="n"/>
      <c r="AD9" s="257" t="n"/>
      <c r="AE9" s="258" t="n"/>
      <c r="AF9" s="281" t="n"/>
      <c r="AG9" s="257" t="n"/>
      <c r="AH9" s="257" t="n"/>
      <c r="AI9" s="258" t="n"/>
    </row>
    <row r="10" ht="15" customFormat="1" customHeight="1" s="13">
      <c r="A10" s="14" t="n"/>
      <c r="B10" s="279" t="n"/>
      <c r="C10" s="258" t="n"/>
      <c r="D10" s="280" t="n"/>
      <c r="E10" s="257" t="n"/>
      <c r="F10" s="258" t="n"/>
      <c r="G10" s="279" t="n"/>
      <c r="H10" s="257" t="n"/>
      <c r="I10" s="258" t="n"/>
      <c r="J10" s="281" t="n"/>
      <c r="K10" s="257" t="n"/>
      <c r="L10" s="257" t="n"/>
      <c r="M10" s="257" t="n"/>
      <c r="N10" s="257" t="n"/>
      <c r="O10" s="257" t="n"/>
      <c r="P10" s="258" t="n"/>
      <c r="Q10" s="282" t="n"/>
      <c r="R10" s="257" t="n"/>
      <c r="S10" s="257" t="n"/>
      <c r="T10" s="257" t="n"/>
      <c r="U10" s="257" t="n"/>
      <c r="V10" s="257" t="n"/>
      <c r="W10" s="257" t="n"/>
      <c r="X10" s="257" t="n"/>
      <c r="Y10" s="257" t="n"/>
      <c r="Z10" s="257" t="n"/>
      <c r="AA10" s="257" t="n"/>
      <c r="AB10" s="257" t="n"/>
      <c r="AC10" s="257" t="n"/>
      <c r="AD10" s="257" t="n"/>
      <c r="AE10" s="258" t="n"/>
      <c r="AF10" s="281" t="n"/>
      <c r="AG10" s="257" t="n"/>
      <c r="AH10" s="257" t="n"/>
      <c r="AI10" s="258" t="n"/>
    </row>
    <row r="11" ht="15" customFormat="1" customHeight="1" s="13">
      <c r="A11" s="14" t="n"/>
      <c r="B11" s="279" t="n"/>
      <c r="C11" s="258" t="n"/>
      <c r="D11" s="280" t="n"/>
      <c r="E11" s="257" t="n"/>
      <c r="F11" s="258" t="n"/>
      <c r="G11" s="279" t="n"/>
      <c r="H11" s="257" t="n"/>
      <c r="I11" s="258" t="n"/>
      <c r="J11" s="281" t="n"/>
      <c r="K11" s="257" t="n"/>
      <c r="L11" s="257" t="n"/>
      <c r="M11" s="257" t="n"/>
      <c r="N11" s="257" t="n"/>
      <c r="O11" s="257" t="n"/>
      <c r="P11" s="258" t="n"/>
      <c r="Q11" s="282" t="n"/>
      <c r="R11" s="257" t="n"/>
      <c r="S11" s="257" t="n"/>
      <c r="T11" s="257" t="n"/>
      <c r="U11" s="257" t="n"/>
      <c r="V11" s="257" t="n"/>
      <c r="W11" s="257" t="n"/>
      <c r="X11" s="257" t="n"/>
      <c r="Y11" s="257" t="n"/>
      <c r="Z11" s="257" t="n"/>
      <c r="AA11" s="257" t="n"/>
      <c r="AB11" s="257" t="n"/>
      <c r="AC11" s="257" t="n"/>
      <c r="AD11" s="257" t="n"/>
      <c r="AE11" s="258" t="n"/>
      <c r="AF11" s="281" t="n"/>
      <c r="AG11" s="257" t="n"/>
      <c r="AH11" s="257" t="n"/>
      <c r="AI11" s="258" t="n"/>
    </row>
    <row r="12" ht="15" customFormat="1" customHeight="1" s="13">
      <c r="A12" s="14" t="n"/>
      <c r="B12" s="279" t="n"/>
      <c r="C12" s="258" t="n"/>
      <c r="D12" s="280" t="n"/>
      <c r="E12" s="257" t="n"/>
      <c r="F12" s="258" t="n"/>
      <c r="G12" s="279" t="n"/>
      <c r="H12" s="257" t="n"/>
      <c r="I12" s="258" t="n"/>
      <c r="J12" s="281" t="n"/>
      <c r="K12" s="257" t="n"/>
      <c r="L12" s="257" t="n"/>
      <c r="M12" s="257" t="n"/>
      <c r="N12" s="257" t="n"/>
      <c r="O12" s="257" t="n"/>
      <c r="P12" s="258" t="n"/>
      <c r="Q12" s="282" t="n"/>
      <c r="R12" s="257" t="n"/>
      <c r="S12" s="257" t="n"/>
      <c r="T12" s="257" t="n"/>
      <c r="U12" s="257" t="n"/>
      <c r="V12" s="257" t="n"/>
      <c r="W12" s="257" t="n"/>
      <c r="X12" s="257" t="n"/>
      <c r="Y12" s="257" t="n"/>
      <c r="Z12" s="257" t="n"/>
      <c r="AA12" s="257" t="n"/>
      <c r="AB12" s="257" t="n"/>
      <c r="AC12" s="257" t="n"/>
      <c r="AD12" s="257" t="n"/>
      <c r="AE12" s="258" t="n"/>
      <c r="AF12" s="281" t="n"/>
      <c r="AG12" s="257" t="n"/>
      <c r="AH12" s="257" t="n"/>
      <c r="AI12" s="258" t="n"/>
    </row>
    <row r="13" ht="15" customFormat="1" customHeight="1" s="13">
      <c r="A13" s="14" t="n"/>
      <c r="B13" s="279" t="n"/>
      <c r="C13" s="258" t="n"/>
      <c r="D13" s="280" t="n"/>
      <c r="E13" s="257" t="n"/>
      <c r="F13" s="258" t="n"/>
      <c r="G13" s="279" t="n"/>
      <c r="H13" s="257" t="n"/>
      <c r="I13" s="258" t="n"/>
      <c r="J13" s="281" t="n"/>
      <c r="K13" s="257" t="n"/>
      <c r="L13" s="257" t="n"/>
      <c r="M13" s="257" t="n"/>
      <c r="N13" s="257" t="n"/>
      <c r="O13" s="257" t="n"/>
      <c r="P13" s="258" t="n"/>
      <c r="Q13" s="282" t="n"/>
      <c r="R13" s="257" t="n"/>
      <c r="S13" s="257" t="n"/>
      <c r="T13" s="257" t="n"/>
      <c r="U13" s="257" t="n"/>
      <c r="V13" s="257" t="n"/>
      <c r="W13" s="257" t="n"/>
      <c r="X13" s="257" t="n"/>
      <c r="Y13" s="257" t="n"/>
      <c r="Z13" s="257" t="n"/>
      <c r="AA13" s="257" t="n"/>
      <c r="AB13" s="257" t="n"/>
      <c r="AC13" s="257" t="n"/>
      <c r="AD13" s="257" t="n"/>
      <c r="AE13" s="258" t="n"/>
      <c r="AF13" s="281" t="n"/>
      <c r="AG13" s="257" t="n"/>
      <c r="AH13" s="257" t="n"/>
      <c r="AI13" s="258" t="n"/>
    </row>
    <row r="14" ht="15" customFormat="1" customHeight="1" s="13">
      <c r="A14" s="14" t="n"/>
      <c r="B14" s="279" t="n"/>
      <c r="C14" s="258" t="n"/>
      <c r="D14" s="280" t="n"/>
      <c r="E14" s="257" t="n"/>
      <c r="F14" s="258" t="n"/>
      <c r="G14" s="279" t="n"/>
      <c r="H14" s="257" t="n"/>
      <c r="I14" s="258" t="n"/>
      <c r="J14" s="281" t="n"/>
      <c r="K14" s="257" t="n"/>
      <c r="L14" s="257" t="n"/>
      <c r="M14" s="257" t="n"/>
      <c r="N14" s="257" t="n"/>
      <c r="O14" s="257" t="n"/>
      <c r="P14" s="258" t="n"/>
      <c r="Q14" s="282" t="n"/>
      <c r="R14" s="257" t="n"/>
      <c r="S14" s="257" t="n"/>
      <c r="T14" s="257" t="n"/>
      <c r="U14" s="257" t="n"/>
      <c r="V14" s="257" t="n"/>
      <c r="W14" s="257" t="n"/>
      <c r="X14" s="257" t="n"/>
      <c r="Y14" s="257" t="n"/>
      <c r="Z14" s="257" t="n"/>
      <c r="AA14" s="257" t="n"/>
      <c r="AB14" s="257" t="n"/>
      <c r="AC14" s="257" t="n"/>
      <c r="AD14" s="257" t="n"/>
      <c r="AE14" s="258" t="n"/>
      <c r="AF14" s="281" t="n"/>
      <c r="AG14" s="257" t="n"/>
      <c r="AH14" s="257" t="n"/>
      <c r="AI14" s="258" t="n"/>
    </row>
    <row r="15" ht="15" customFormat="1" customHeight="1" s="13">
      <c r="A15" s="14" t="n"/>
      <c r="B15" s="279" t="n"/>
      <c r="C15" s="258" t="n"/>
      <c r="D15" s="280" t="n"/>
      <c r="E15" s="257" t="n"/>
      <c r="F15" s="258" t="n"/>
      <c r="G15" s="279" t="n"/>
      <c r="H15" s="257" t="n"/>
      <c r="I15" s="258" t="n"/>
      <c r="J15" s="281" t="n"/>
      <c r="K15" s="257" t="n"/>
      <c r="L15" s="257" t="n"/>
      <c r="M15" s="257" t="n"/>
      <c r="N15" s="257" t="n"/>
      <c r="O15" s="257" t="n"/>
      <c r="P15" s="258" t="n"/>
      <c r="Q15" s="282" t="n"/>
      <c r="R15" s="257" t="n"/>
      <c r="S15" s="257" t="n"/>
      <c r="T15" s="257" t="n"/>
      <c r="U15" s="257" t="n"/>
      <c r="V15" s="257" t="n"/>
      <c r="W15" s="257" t="n"/>
      <c r="X15" s="257" t="n"/>
      <c r="Y15" s="257" t="n"/>
      <c r="Z15" s="257" t="n"/>
      <c r="AA15" s="257" t="n"/>
      <c r="AB15" s="257" t="n"/>
      <c r="AC15" s="257" t="n"/>
      <c r="AD15" s="257" t="n"/>
      <c r="AE15" s="258" t="n"/>
      <c r="AF15" s="281" t="n"/>
      <c r="AG15" s="257" t="n"/>
      <c r="AH15" s="257" t="n"/>
      <c r="AI15" s="258" t="n"/>
    </row>
    <row r="16" ht="15" customFormat="1" customHeight="1" s="13">
      <c r="A16" s="14" t="n"/>
      <c r="B16" s="279" t="n"/>
      <c r="C16" s="258" t="n"/>
      <c r="D16" s="280" t="n"/>
      <c r="E16" s="257" t="n"/>
      <c r="F16" s="258" t="n"/>
      <c r="G16" s="279" t="n"/>
      <c r="H16" s="257" t="n"/>
      <c r="I16" s="258" t="n"/>
      <c r="J16" s="281" t="n"/>
      <c r="K16" s="257" t="n"/>
      <c r="L16" s="257" t="n"/>
      <c r="M16" s="257" t="n"/>
      <c r="N16" s="257" t="n"/>
      <c r="O16" s="257" t="n"/>
      <c r="P16" s="258" t="n"/>
      <c r="Q16" s="282" t="n"/>
      <c r="R16" s="257" t="n"/>
      <c r="S16" s="257" t="n"/>
      <c r="T16" s="257" t="n"/>
      <c r="U16" s="257" t="n"/>
      <c r="V16" s="257" t="n"/>
      <c r="W16" s="257" t="n"/>
      <c r="X16" s="257" t="n"/>
      <c r="Y16" s="257" t="n"/>
      <c r="Z16" s="257" t="n"/>
      <c r="AA16" s="257" t="n"/>
      <c r="AB16" s="257" t="n"/>
      <c r="AC16" s="257" t="n"/>
      <c r="AD16" s="257" t="n"/>
      <c r="AE16" s="258" t="n"/>
      <c r="AF16" s="281" t="n"/>
      <c r="AG16" s="257" t="n"/>
      <c r="AH16" s="257" t="n"/>
      <c r="AI16" s="258" t="n"/>
    </row>
    <row r="17" ht="15" customFormat="1" customHeight="1" s="13">
      <c r="A17" s="14" t="n"/>
      <c r="B17" s="279" t="n"/>
      <c r="C17" s="258" t="n"/>
      <c r="D17" s="280" t="n"/>
      <c r="E17" s="257" t="n"/>
      <c r="F17" s="258" t="n"/>
      <c r="G17" s="279" t="n"/>
      <c r="H17" s="257" t="n"/>
      <c r="I17" s="258" t="n"/>
      <c r="J17" s="281" t="n"/>
      <c r="K17" s="257" t="n"/>
      <c r="L17" s="257" t="n"/>
      <c r="M17" s="257" t="n"/>
      <c r="N17" s="257" t="n"/>
      <c r="O17" s="257" t="n"/>
      <c r="P17" s="258" t="n"/>
      <c r="Q17" s="282" t="n"/>
      <c r="R17" s="257" t="n"/>
      <c r="S17" s="257" t="n"/>
      <c r="T17" s="257" t="n"/>
      <c r="U17" s="257" t="n"/>
      <c r="V17" s="257" t="n"/>
      <c r="W17" s="257" t="n"/>
      <c r="X17" s="257" t="n"/>
      <c r="Y17" s="257" t="n"/>
      <c r="Z17" s="257" t="n"/>
      <c r="AA17" s="257" t="n"/>
      <c r="AB17" s="257" t="n"/>
      <c r="AC17" s="257" t="n"/>
      <c r="AD17" s="257" t="n"/>
      <c r="AE17" s="258" t="n"/>
      <c r="AF17" s="281" t="n"/>
      <c r="AG17" s="257" t="n"/>
      <c r="AH17" s="257" t="n"/>
      <c r="AI17" s="258" t="n"/>
    </row>
    <row r="18" ht="15" customFormat="1" customHeight="1" s="13">
      <c r="A18" s="14" t="n"/>
      <c r="B18" s="279" t="n"/>
      <c r="C18" s="258" t="n"/>
      <c r="D18" s="280" t="n"/>
      <c r="E18" s="257" t="n"/>
      <c r="F18" s="258" t="n"/>
      <c r="G18" s="279" t="n"/>
      <c r="H18" s="257" t="n"/>
      <c r="I18" s="258" t="n"/>
      <c r="J18" s="281" t="n"/>
      <c r="K18" s="257" t="n"/>
      <c r="L18" s="257" t="n"/>
      <c r="M18" s="257" t="n"/>
      <c r="N18" s="257" t="n"/>
      <c r="O18" s="257" t="n"/>
      <c r="P18" s="258" t="n"/>
      <c r="Q18" s="282" t="n"/>
      <c r="R18" s="257" t="n"/>
      <c r="S18" s="257" t="n"/>
      <c r="T18" s="257" t="n"/>
      <c r="U18" s="257" t="n"/>
      <c r="V18" s="257" t="n"/>
      <c r="W18" s="257" t="n"/>
      <c r="X18" s="257" t="n"/>
      <c r="Y18" s="257" t="n"/>
      <c r="Z18" s="257" t="n"/>
      <c r="AA18" s="257" t="n"/>
      <c r="AB18" s="257" t="n"/>
      <c r="AC18" s="257" t="n"/>
      <c r="AD18" s="257" t="n"/>
      <c r="AE18" s="258" t="n"/>
      <c r="AF18" s="281" t="n"/>
      <c r="AG18" s="257" t="n"/>
      <c r="AH18" s="257" t="n"/>
      <c r="AI18" s="258" t="n"/>
    </row>
    <row r="19" ht="15" customFormat="1" customHeight="1" s="13">
      <c r="A19" s="14" t="n"/>
      <c r="B19" s="279" t="n"/>
      <c r="C19" s="258" t="n"/>
      <c r="D19" s="280" t="n"/>
      <c r="E19" s="257" t="n"/>
      <c r="F19" s="258" t="n"/>
      <c r="G19" s="279" t="n"/>
      <c r="H19" s="257" t="n"/>
      <c r="I19" s="258" t="n"/>
      <c r="J19" s="281" t="n"/>
      <c r="K19" s="257" t="n"/>
      <c r="L19" s="257" t="n"/>
      <c r="M19" s="257" t="n"/>
      <c r="N19" s="257" t="n"/>
      <c r="O19" s="257" t="n"/>
      <c r="P19" s="258" t="n"/>
      <c r="Q19" s="282" t="n"/>
      <c r="R19" s="257" t="n"/>
      <c r="S19" s="257" t="n"/>
      <c r="T19" s="257" t="n"/>
      <c r="U19" s="257" t="n"/>
      <c r="V19" s="257" t="n"/>
      <c r="W19" s="257" t="n"/>
      <c r="X19" s="257" t="n"/>
      <c r="Y19" s="257" t="n"/>
      <c r="Z19" s="257" t="n"/>
      <c r="AA19" s="257" t="n"/>
      <c r="AB19" s="257" t="n"/>
      <c r="AC19" s="257" t="n"/>
      <c r="AD19" s="257" t="n"/>
      <c r="AE19" s="258" t="n"/>
      <c r="AF19" s="281" t="n"/>
      <c r="AG19" s="257" t="n"/>
      <c r="AH19" s="257" t="n"/>
      <c r="AI19" s="258" t="n"/>
    </row>
    <row r="20" ht="15" customFormat="1" customHeight="1" s="13">
      <c r="A20" s="14" t="n"/>
      <c r="B20" s="279" t="n"/>
      <c r="C20" s="258" t="n"/>
      <c r="D20" s="280" t="n"/>
      <c r="E20" s="257" t="n"/>
      <c r="F20" s="258" t="n"/>
      <c r="G20" s="279" t="n"/>
      <c r="H20" s="257" t="n"/>
      <c r="I20" s="258" t="n"/>
      <c r="J20" s="281" t="n"/>
      <c r="K20" s="257" t="n"/>
      <c r="L20" s="257" t="n"/>
      <c r="M20" s="257" t="n"/>
      <c r="N20" s="257" t="n"/>
      <c r="O20" s="257" t="n"/>
      <c r="P20" s="258" t="n"/>
      <c r="Q20" s="282" t="n"/>
      <c r="R20" s="257" t="n"/>
      <c r="S20" s="257" t="n"/>
      <c r="T20" s="257" t="n"/>
      <c r="U20" s="257" t="n"/>
      <c r="V20" s="257" t="n"/>
      <c r="W20" s="257" t="n"/>
      <c r="X20" s="257" t="n"/>
      <c r="Y20" s="257" t="n"/>
      <c r="Z20" s="257" t="n"/>
      <c r="AA20" s="257" t="n"/>
      <c r="AB20" s="257" t="n"/>
      <c r="AC20" s="257" t="n"/>
      <c r="AD20" s="257" t="n"/>
      <c r="AE20" s="258" t="n"/>
      <c r="AF20" s="281" t="n"/>
      <c r="AG20" s="257" t="n"/>
      <c r="AH20" s="257" t="n"/>
      <c r="AI20" s="258" t="n"/>
    </row>
    <row r="21" ht="15" customFormat="1" customHeight="1" s="13">
      <c r="A21" s="14" t="n"/>
      <c r="B21" s="279" t="n"/>
      <c r="C21" s="258" t="n"/>
      <c r="D21" s="280" t="n"/>
      <c r="E21" s="257" t="n"/>
      <c r="F21" s="258" t="n"/>
      <c r="G21" s="279" t="n"/>
      <c r="H21" s="257" t="n"/>
      <c r="I21" s="258" t="n"/>
      <c r="J21" s="281" t="n"/>
      <c r="K21" s="257" t="n"/>
      <c r="L21" s="257" t="n"/>
      <c r="M21" s="257" t="n"/>
      <c r="N21" s="257" t="n"/>
      <c r="O21" s="257" t="n"/>
      <c r="P21" s="258" t="n"/>
      <c r="Q21" s="282" t="n"/>
      <c r="R21" s="257" t="n"/>
      <c r="S21" s="257" t="n"/>
      <c r="T21" s="257" t="n"/>
      <c r="U21" s="257" t="n"/>
      <c r="V21" s="257" t="n"/>
      <c r="W21" s="257" t="n"/>
      <c r="X21" s="257" t="n"/>
      <c r="Y21" s="257" t="n"/>
      <c r="Z21" s="257" t="n"/>
      <c r="AA21" s="257" t="n"/>
      <c r="AB21" s="257" t="n"/>
      <c r="AC21" s="257" t="n"/>
      <c r="AD21" s="257" t="n"/>
      <c r="AE21" s="258" t="n"/>
      <c r="AF21" s="281" t="n"/>
      <c r="AG21" s="257" t="n"/>
      <c r="AH21" s="257" t="n"/>
      <c r="AI21" s="258" t="n"/>
    </row>
    <row r="22" ht="15" customFormat="1" customHeight="1" s="13">
      <c r="A22" s="14" t="n"/>
      <c r="B22" s="279" t="n"/>
      <c r="C22" s="258" t="n"/>
      <c r="D22" s="280" t="n"/>
      <c r="E22" s="257" t="n"/>
      <c r="F22" s="258" t="n"/>
      <c r="G22" s="279" t="n"/>
      <c r="H22" s="257" t="n"/>
      <c r="I22" s="258" t="n"/>
      <c r="J22" s="281" t="n"/>
      <c r="K22" s="257" t="n"/>
      <c r="L22" s="257" t="n"/>
      <c r="M22" s="257" t="n"/>
      <c r="N22" s="257" t="n"/>
      <c r="O22" s="257" t="n"/>
      <c r="P22" s="258" t="n"/>
      <c r="Q22" s="282" t="n"/>
      <c r="R22" s="257" t="n"/>
      <c r="S22" s="257" t="n"/>
      <c r="T22" s="257" t="n"/>
      <c r="U22" s="257" t="n"/>
      <c r="V22" s="257" t="n"/>
      <c r="W22" s="257" t="n"/>
      <c r="X22" s="257" t="n"/>
      <c r="Y22" s="257" t="n"/>
      <c r="Z22" s="257" t="n"/>
      <c r="AA22" s="257" t="n"/>
      <c r="AB22" s="257" t="n"/>
      <c r="AC22" s="257" t="n"/>
      <c r="AD22" s="257" t="n"/>
      <c r="AE22" s="258" t="n"/>
      <c r="AF22" s="281" t="n"/>
      <c r="AG22" s="257" t="n"/>
      <c r="AH22" s="257" t="n"/>
      <c r="AI22" s="258" t="n"/>
    </row>
    <row r="23" ht="15" customFormat="1" customHeight="1" s="13">
      <c r="A23" s="14" t="n"/>
      <c r="B23" s="279" t="n"/>
      <c r="C23" s="258" t="n"/>
      <c r="D23" s="280" t="n"/>
      <c r="E23" s="257" t="n"/>
      <c r="F23" s="258" t="n"/>
      <c r="G23" s="279" t="n"/>
      <c r="H23" s="257" t="n"/>
      <c r="I23" s="258" t="n"/>
      <c r="J23" s="281" t="n"/>
      <c r="K23" s="257" t="n"/>
      <c r="L23" s="257" t="n"/>
      <c r="M23" s="257" t="n"/>
      <c r="N23" s="257" t="n"/>
      <c r="O23" s="257" t="n"/>
      <c r="P23" s="258" t="n"/>
      <c r="Q23" s="282" t="n"/>
      <c r="R23" s="257" t="n"/>
      <c r="S23" s="257" t="n"/>
      <c r="T23" s="257" t="n"/>
      <c r="U23" s="257" t="n"/>
      <c r="V23" s="257" t="n"/>
      <c r="W23" s="257" t="n"/>
      <c r="X23" s="257" t="n"/>
      <c r="Y23" s="257" t="n"/>
      <c r="Z23" s="257" t="n"/>
      <c r="AA23" s="257" t="n"/>
      <c r="AB23" s="257" t="n"/>
      <c r="AC23" s="257" t="n"/>
      <c r="AD23" s="257" t="n"/>
      <c r="AE23" s="258" t="n"/>
      <c r="AF23" s="281" t="n"/>
      <c r="AG23" s="257" t="n"/>
      <c r="AH23" s="257" t="n"/>
      <c r="AI23" s="258" t="n"/>
    </row>
    <row r="24" ht="15" customFormat="1" customHeight="1" s="13">
      <c r="A24" s="14" t="n"/>
      <c r="B24" s="279" t="n"/>
      <c r="C24" s="258" t="n"/>
      <c r="D24" s="280" t="n"/>
      <c r="E24" s="257" t="n"/>
      <c r="F24" s="258" t="n"/>
      <c r="G24" s="279" t="n"/>
      <c r="H24" s="257" t="n"/>
      <c r="I24" s="258" t="n"/>
      <c r="J24" s="281" t="n"/>
      <c r="K24" s="257" t="n"/>
      <c r="L24" s="257" t="n"/>
      <c r="M24" s="257" t="n"/>
      <c r="N24" s="257" t="n"/>
      <c r="O24" s="257" t="n"/>
      <c r="P24" s="258" t="n"/>
      <c r="Q24" s="282" t="n"/>
      <c r="R24" s="257" t="n"/>
      <c r="S24" s="257" t="n"/>
      <c r="T24" s="257" t="n"/>
      <c r="U24" s="257" t="n"/>
      <c r="V24" s="257" t="n"/>
      <c r="W24" s="257" t="n"/>
      <c r="X24" s="257" t="n"/>
      <c r="Y24" s="257" t="n"/>
      <c r="Z24" s="257" t="n"/>
      <c r="AA24" s="257" t="n"/>
      <c r="AB24" s="257" t="n"/>
      <c r="AC24" s="257" t="n"/>
      <c r="AD24" s="257" t="n"/>
      <c r="AE24" s="258" t="n"/>
      <c r="AF24" s="281" t="n"/>
      <c r="AG24" s="257" t="n"/>
      <c r="AH24" s="257" t="n"/>
      <c r="AI24" s="258" t="n"/>
    </row>
    <row r="25" ht="15" customFormat="1" customHeight="1" s="13">
      <c r="A25" s="14" t="n"/>
      <c r="B25" s="279" t="n"/>
      <c r="C25" s="258" t="n"/>
      <c r="D25" s="280" t="n"/>
      <c r="E25" s="257" t="n"/>
      <c r="F25" s="258" t="n"/>
      <c r="G25" s="279" t="n"/>
      <c r="H25" s="257" t="n"/>
      <c r="I25" s="258" t="n"/>
      <c r="J25" s="281" t="n"/>
      <c r="K25" s="257" t="n"/>
      <c r="L25" s="257" t="n"/>
      <c r="M25" s="257" t="n"/>
      <c r="N25" s="257" t="n"/>
      <c r="O25" s="257" t="n"/>
      <c r="P25" s="258" t="n"/>
      <c r="Q25" s="282" t="n"/>
      <c r="R25" s="257" t="n"/>
      <c r="S25" s="257" t="n"/>
      <c r="T25" s="257" t="n"/>
      <c r="U25" s="257" t="n"/>
      <c r="V25" s="257" t="n"/>
      <c r="W25" s="257" t="n"/>
      <c r="X25" s="257" t="n"/>
      <c r="Y25" s="257" t="n"/>
      <c r="Z25" s="257" t="n"/>
      <c r="AA25" s="257" t="n"/>
      <c r="AB25" s="257" t="n"/>
      <c r="AC25" s="257" t="n"/>
      <c r="AD25" s="257" t="n"/>
      <c r="AE25" s="258" t="n"/>
      <c r="AF25" s="281" t="n"/>
      <c r="AG25" s="257" t="n"/>
      <c r="AH25" s="257" t="n"/>
      <c r="AI25" s="258" t="n"/>
    </row>
    <row r="26" ht="15" customFormat="1" customHeight="1" s="13">
      <c r="A26" s="14" t="n"/>
      <c r="B26" s="279" t="n"/>
      <c r="C26" s="258" t="n"/>
      <c r="D26" s="280" t="n"/>
      <c r="E26" s="257" t="n"/>
      <c r="F26" s="258" t="n"/>
      <c r="G26" s="279" t="n"/>
      <c r="H26" s="257" t="n"/>
      <c r="I26" s="258" t="n"/>
      <c r="J26" s="281" t="n"/>
      <c r="K26" s="257" t="n"/>
      <c r="L26" s="257" t="n"/>
      <c r="M26" s="257" t="n"/>
      <c r="N26" s="257" t="n"/>
      <c r="O26" s="257" t="n"/>
      <c r="P26" s="258" t="n"/>
      <c r="Q26" s="282" t="n"/>
      <c r="R26" s="257" t="n"/>
      <c r="S26" s="257" t="n"/>
      <c r="T26" s="257" t="n"/>
      <c r="U26" s="257" t="n"/>
      <c r="V26" s="257" t="n"/>
      <c r="W26" s="257" t="n"/>
      <c r="X26" s="257" t="n"/>
      <c r="Y26" s="257" t="n"/>
      <c r="Z26" s="257" t="n"/>
      <c r="AA26" s="257" t="n"/>
      <c r="AB26" s="257" t="n"/>
      <c r="AC26" s="257" t="n"/>
      <c r="AD26" s="257" t="n"/>
      <c r="AE26" s="258" t="n"/>
      <c r="AF26" s="281" t="n"/>
      <c r="AG26" s="257" t="n"/>
      <c r="AH26" s="257" t="n"/>
      <c r="AI26" s="258" t="n"/>
    </row>
    <row r="27" ht="15" customFormat="1" customHeight="1" s="13">
      <c r="A27" s="14" t="n"/>
      <c r="B27" s="279" t="n"/>
      <c r="C27" s="258" t="n"/>
      <c r="D27" s="280" t="n"/>
      <c r="E27" s="257" t="n"/>
      <c r="F27" s="258" t="n"/>
      <c r="G27" s="279" t="n"/>
      <c r="H27" s="257" t="n"/>
      <c r="I27" s="258" t="n"/>
      <c r="J27" s="281" t="n"/>
      <c r="K27" s="257" t="n"/>
      <c r="L27" s="257" t="n"/>
      <c r="M27" s="257" t="n"/>
      <c r="N27" s="257" t="n"/>
      <c r="O27" s="257" t="n"/>
      <c r="P27" s="258" t="n"/>
      <c r="Q27" s="282" t="n"/>
      <c r="R27" s="257" t="n"/>
      <c r="S27" s="257" t="n"/>
      <c r="T27" s="257" t="n"/>
      <c r="U27" s="257" t="n"/>
      <c r="V27" s="257" t="n"/>
      <c r="W27" s="257" t="n"/>
      <c r="X27" s="257" t="n"/>
      <c r="Y27" s="257" t="n"/>
      <c r="Z27" s="257" t="n"/>
      <c r="AA27" s="257" t="n"/>
      <c r="AB27" s="257" t="n"/>
      <c r="AC27" s="257" t="n"/>
      <c r="AD27" s="257" t="n"/>
      <c r="AE27" s="258" t="n"/>
      <c r="AF27" s="281" t="n"/>
      <c r="AG27" s="257" t="n"/>
      <c r="AH27" s="257" t="n"/>
      <c r="AI27" s="258" t="n"/>
    </row>
    <row r="28" ht="15" customFormat="1" customHeight="1" s="13">
      <c r="A28" s="14" t="n"/>
      <c r="B28" s="279" t="n"/>
      <c r="C28" s="258" t="n"/>
      <c r="D28" s="280" t="n"/>
      <c r="E28" s="257" t="n"/>
      <c r="F28" s="258" t="n"/>
      <c r="G28" s="279" t="n"/>
      <c r="H28" s="257" t="n"/>
      <c r="I28" s="258" t="n"/>
      <c r="J28" s="281" t="n"/>
      <c r="K28" s="257" t="n"/>
      <c r="L28" s="257" t="n"/>
      <c r="M28" s="257" t="n"/>
      <c r="N28" s="257" t="n"/>
      <c r="O28" s="257" t="n"/>
      <c r="P28" s="258" t="n"/>
      <c r="Q28" s="282" t="n"/>
      <c r="R28" s="257" t="n"/>
      <c r="S28" s="257" t="n"/>
      <c r="T28" s="257" t="n"/>
      <c r="U28" s="257" t="n"/>
      <c r="V28" s="257" t="n"/>
      <c r="W28" s="257" t="n"/>
      <c r="X28" s="257" t="n"/>
      <c r="Y28" s="257" t="n"/>
      <c r="Z28" s="257" t="n"/>
      <c r="AA28" s="257" t="n"/>
      <c r="AB28" s="257" t="n"/>
      <c r="AC28" s="257" t="n"/>
      <c r="AD28" s="257" t="n"/>
      <c r="AE28" s="258" t="n"/>
      <c r="AF28" s="281" t="n"/>
      <c r="AG28" s="257" t="n"/>
      <c r="AH28" s="257" t="n"/>
      <c r="AI28" s="258" t="n"/>
    </row>
    <row r="29" ht="15" customFormat="1" customHeight="1" s="13">
      <c r="A29" s="14" t="n"/>
      <c r="B29" s="279" t="n"/>
      <c r="C29" s="258" t="n"/>
      <c r="D29" s="280" t="n"/>
      <c r="E29" s="257" t="n"/>
      <c r="F29" s="258" t="n"/>
      <c r="G29" s="279" t="n"/>
      <c r="H29" s="257" t="n"/>
      <c r="I29" s="258" t="n"/>
      <c r="J29" s="281" t="n"/>
      <c r="K29" s="257" t="n"/>
      <c r="L29" s="257" t="n"/>
      <c r="M29" s="257" t="n"/>
      <c r="N29" s="257" t="n"/>
      <c r="O29" s="257" t="n"/>
      <c r="P29" s="258" t="n"/>
      <c r="Q29" s="282" t="n"/>
      <c r="R29" s="257" t="n"/>
      <c r="S29" s="257" t="n"/>
      <c r="T29" s="257" t="n"/>
      <c r="U29" s="257" t="n"/>
      <c r="V29" s="257" t="n"/>
      <c r="W29" s="257" t="n"/>
      <c r="X29" s="257" t="n"/>
      <c r="Y29" s="257" t="n"/>
      <c r="Z29" s="257" t="n"/>
      <c r="AA29" s="257" t="n"/>
      <c r="AB29" s="257" t="n"/>
      <c r="AC29" s="257" t="n"/>
      <c r="AD29" s="257" t="n"/>
      <c r="AE29" s="258" t="n"/>
      <c r="AF29" s="281" t="n"/>
      <c r="AG29" s="257" t="n"/>
      <c r="AH29" s="257" t="n"/>
      <c r="AI29" s="258" t="n"/>
    </row>
    <row r="30" ht="15" customFormat="1" customHeight="1" s="13">
      <c r="A30" s="14" t="n"/>
      <c r="B30" s="279" t="n"/>
      <c r="C30" s="258" t="n"/>
      <c r="D30" s="280" t="n"/>
      <c r="E30" s="257" t="n"/>
      <c r="F30" s="258" t="n"/>
      <c r="G30" s="279" t="n"/>
      <c r="H30" s="257" t="n"/>
      <c r="I30" s="258" t="n"/>
      <c r="J30" s="281" t="n"/>
      <c r="K30" s="257" t="n"/>
      <c r="L30" s="257" t="n"/>
      <c r="M30" s="257" t="n"/>
      <c r="N30" s="257" t="n"/>
      <c r="O30" s="257" t="n"/>
      <c r="P30" s="258" t="n"/>
      <c r="Q30" s="282" t="n"/>
      <c r="R30" s="257" t="n"/>
      <c r="S30" s="257" t="n"/>
      <c r="T30" s="257" t="n"/>
      <c r="U30" s="257" t="n"/>
      <c r="V30" s="257" t="n"/>
      <c r="W30" s="257" t="n"/>
      <c r="X30" s="257" t="n"/>
      <c r="Y30" s="257" t="n"/>
      <c r="Z30" s="257" t="n"/>
      <c r="AA30" s="257" t="n"/>
      <c r="AB30" s="257" t="n"/>
      <c r="AC30" s="257" t="n"/>
      <c r="AD30" s="257" t="n"/>
      <c r="AE30" s="258" t="n"/>
      <c r="AF30" s="281" t="n"/>
      <c r="AG30" s="257" t="n"/>
      <c r="AH30" s="257" t="n"/>
      <c r="AI30" s="258" t="n"/>
    </row>
    <row r="31" ht="15" customFormat="1" customHeight="1" s="13">
      <c r="A31" s="14" t="n"/>
      <c r="B31" s="279" t="n"/>
      <c r="C31" s="258" t="n"/>
      <c r="D31" s="280" t="n"/>
      <c r="E31" s="257" t="n"/>
      <c r="F31" s="258" t="n"/>
      <c r="G31" s="279" t="n"/>
      <c r="H31" s="257" t="n"/>
      <c r="I31" s="258" t="n"/>
      <c r="J31" s="281" t="n"/>
      <c r="K31" s="257" t="n"/>
      <c r="L31" s="257" t="n"/>
      <c r="M31" s="257" t="n"/>
      <c r="N31" s="257" t="n"/>
      <c r="O31" s="257" t="n"/>
      <c r="P31" s="258" t="n"/>
      <c r="Q31" s="282" t="n"/>
      <c r="R31" s="257" t="n"/>
      <c r="S31" s="257" t="n"/>
      <c r="T31" s="257" t="n"/>
      <c r="U31" s="257" t="n"/>
      <c r="V31" s="257" t="n"/>
      <c r="W31" s="257" t="n"/>
      <c r="X31" s="257" t="n"/>
      <c r="Y31" s="257" t="n"/>
      <c r="Z31" s="257" t="n"/>
      <c r="AA31" s="257" t="n"/>
      <c r="AB31" s="257" t="n"/>
      <c r="AC31" s="257" t="n"/>
      <c r="AD31" s="257" t="n"/>
      <c r="AE31" s="258" t="n"/>
      <c r="AF31" s="281" t="n"/>
      <c r="AG31" s="257" t="n"/>
      <c r="AH31" s="257" t="n"/>
      <c r="AI31" s="258" t="n"/>
    </row>
    <row r="32" ht="15" customFormat="1" customHeight="1" s="13">
      <c r="A32" s="14" t="n"/>
      <c r="B32" s="279" t="n"/>
      <c r="C32" s="258" t="n"/>
      <c r="D32" s="280" t="n"/>
      <c r="E32" s="257" t="n"/>
      <c r="F32" s="258" t="n"/>
      <c r="G32" s="279" t="n"/>
      <c r="H32" s="257" t="n"/>
      <c r="I32" s="258" t="n"/>
      <c r="J32" s="281" t="n"/>
      <c r="K32" s="257" t="n"/>
      <c r="L32" s="257" t="n"/>
      <c r="M32" s="257" t="n"/>
      <c r="N32" s="257" t="n"/>
      <c r="O32" s="257" t="n"/>
      <c r="P32" s="258" t="n"/>
      <c r="Q32" s="282" t="n"/>
      <c r="R32" s="257" t="n"/>
      <c r="S32" s="257" t="n"/>
      <c r="T32" s="257" t="n"/>
      <c r="U32" s="257" t="n"/>
      <c r="V32" s="257" t="n"/>
      <c r="W32" s="257" t="n"/>
      <c r="X32" s="257" t="n"/>
      <c r="Y32" s="257" t="n"/>
      <c r="Z32" s="257" t="n"/>
      <c r="AA32" s="257" t="n"/>
      <c r="AB32" s="257" t="n"/>
      <c r="AC32" s="257" t="n"/>
      <c r="AD32" s="257" t="n"/>
      <c r="AE32" s="258" t="n"/>
      <c r="AF32" s="281" t="n"/>
      <c r="AG32" s="257" t="n"/>
      <c r="AH32" s="257" t="n"/>
      <c r="AI32" s="258" t="n"/>
    </row>
    <row r="33" ht="15" customFormat="1" customHeight="1" s="13">
      <c r="A33" s="14" t="n"/>
      <c r="B33" s="279" t="n"/>
      <c r="C33" s="258" t="n"/>
      <c r="D33" s="280" t="n"/>
      <c r="E33" s="257" t="n"/>
      <c r="F33" s="258" t="n"/>
      <c r="G33" s="279" t="n"/>
      <c r="H33" s="257" t="n"/>
      <c r="I33" s="258" t="n"/>
      <c r="J33" s="281" t="n"/>
      <c r="K33" s="257" t="n"/>
      <c r="L33" s="257" t="n"/>
      <c r="M33" s="257" t="n"/>
      <c r="N33" s="257" t="n"/>
      <c r="O33" s="257" t="n"/>
      <c r="P33" s="258" t="n"/>
      <c r="Q33" s="282" t="n"/>
      <c r="R33" s="257" t="n"/>
      <c r="S33" s="257" t="n"/>
      <c r="T33" s="257" t="n"/>
      <c r="U33" s="257" t="n"/>
      <c r="V33" s="257" t="n"/>
      <c r="W33" s="257" t="n"/>
      <c r="X33" s="257" t="n"/>
      <c r="Y33" s="257" t="n"/>
      <c r="Z33" s="257" t="n"/>
      <c r="AA33" s="257" t="n"/>
      <c r="AB33" s="257" t="n"/>
      <c r="AC33" s="257" t="n"/>
      <c r="AD33" s="257" t="n"/>
      <c r="AE33" s="258" t="n"/>
      <c r="AF33" s="281" t="n"/>
      <c r="AG33" s="257" t="n"/>
      <c r="AH33" s="257" t="n"/>
      <c r="AI33" s="258" t="n"/>
    </row>
    <row r="34" ht="14" customHeight="1">
      <c r="K34" s="12" t="n"/>
    </row>
  </sheetData>
  <mergeCells count="179">
    <mergeCell ref="D11:F11"/>
    <mergeCell ref="J31:P31"/>
    <mergeCell ref="AF23:AI23"/>
    <mergeCell ref="G13:I13"/>
    <mergeCell ref="S1:Z3"/>
    <mergeCell ref="Q19:AE19"/>
    <mergeCell ref="J21:P21"/>
    <mergeCell ref="B22:C22"/>
    <mergeCell ref="AF7:AI7"/>
    <mergeCell ref="B31:C31"/>
    <mergeCell ref="G15:I15"/>
    <mergeCell ref="B12:C12"/>
    <mergeCell ref="G24:I24"/>
    <mergeCell ref="B21:C21"/>
    <mergeCell ref="D28:F28"/>
    <mergeCell ref="J23:P23"/>
    <mergeCell ref="AF22:AI22"/>
    <mergeCell ref="AF18:AI18"/>
    <mergeCell ref="Q22:AE22"/>
    <mergeCell ref="D12:F12"/>
    <mergeCell ref="B14:C14"/>
    <mergeCell ref="D9:F9"/>
    <mergeCell ref="G26:I26"/>
    <mergeCell ref="D30:F30"/>
    <mergeCell ref="B13:C13"/>
    <mergeCell ref="G16:I16"/>
    <mergeCell ref="D14:F14"/>
    <mergeCell ref="D29:F29"/>
    <mergeCell ref="D23:F23"/>
    <mergeCell ref="G9:I9"/>
    <mergeCell ref="Q32:AE32"/>
    <mergeCell ref="Q13:AE13"/>
    <mergeCell ref="Q7:AE7"/>
    <mergeCell ref="B24:C24"/>
    <mergeCell ref="J27:P27"/>
    <mergeCell ref="Q16:AE16"/>
    <mergeCell ref="B33:C33"/>
    <mergeCell ref="AA2:AB2"/>
    <mergeCell ref="AF15:AI15"/>
    <mergeCell ref="B32:C32"/>
    <mergeCell ref="Q24:AE24"/>
    <mergeCell ref="J20:P20"/>
    <mergeCell ref="Q18:AE18"/>
    <mergeCell ref="B26:C26"/>
    <mergeCell ref="J11:P11"/>
    <mergeCell ref="AF12:AI12"/>
    <mergeCell ref="A2:D2"/>
    <mergeCell ref="O1:R3"/>
    <mergeCell ref="Q8:AE8"/>
    <mergeCell ref="AG2:AI2"/>
    <mergeCell ref="B16:C16"/>
    <mergeCell ref="D27:F27"/>
    <mergeCell ref="G28:I28"/>
    <mergeCell ref="AF32:AI32"/>
    <mergeCell ref="B25:C25"/>
    <mergeCell ref="J22:P22"/>
    <mergeCell ref="AF26:AI26"/>
    <mergeCell ref="D17:F17"/>
    <mergeCell ref="Q10:AE10"/>
    <mergeCell ref="J12:P12"/>
    <mergeCell ref="B27:C27"/>
    <mergeCell ref="B18:C18"/>
    <mergeCell ref="G30:I30"/>
    <mergeCell ref="AC2:AF2"/>
    <mergeCell ref="G14:I14"/>
    <mergeCell ref="B11:C11"/>
    <mergeCell ref="AF27:AI27"/>
    <mergeCell ref="Q9:AE9"/>
    <mergeCell ref="Q27:AE27"/>
    <mergeCell ref="J29:P29"/>
    <mergeCell ref="D25:F25"/>
    <mergeCell ref="AF24:AI24"/>
    <mergeCell ref="Q30:AE30"/>
    <mergeCell ref="AF33:AI33"/>
    <mergeCell ref="Q17:AE17"/>
    <mergeCell ref="G32:I32"/>
    <mergeCell ref="Q11:AE11"/>
    <mergeCell ref="B29:C29"/>
    <mergeCell ref="J15:P15"/>
    <mergeCell ref="J24:P24"/>
    <mergeCell ref="AF16:AI16"/>
    <mergeCell ref="AF25:AI25"/>
    <mergeCell ref="AG1:AI1"/>
    <mergeCell ref="Q12:AE12"/>
    <mergeCell ref="B15:C15"/>
    <mergeCell ref="G27:I27"/>
    <mergeCell ref="Q21:AE21"/>
    <mergeCell ref="D31:F31"/>
    <mergeCell ref="AF9:AI9"/>
    <mergeCell ref="J26:P26"/>
    <mergeCell ref="AF30:AI30"/>
    <mergeCell ref="G8:I8"/>
    <mergeCell ref="G17:I17"/>
    <mergeCell ref="J7:P7"/>
    <mergeCell ref="D21:F21"/>
    <mergeCell ref="AF20:AI20"/>
    <mergeCell ref="J16:P16"/>
    <mergeCell ref="AC1:AF1"/>
    <mergeCell ref="AF14:AI14"/>
    <mergeCell ref="E2:N2"/>
    <mergeCell ref="J25:P25"/>
    <mergeCell ref="AF11:AI11"/>
    <mergeCell ref="G10:I10"/>
    <mergeCell ref="B7:C7"/>
    <mergeCell ref="G19:I19"/>
    <mergeCell ref="D32:F32"/>
    <mergeCell ref="AF31:AI31"/>
    <mergeCell ref="D7:F7"/>
    <mergeCell ref="Q26:AE26"/>
    <mergeCell ref="D16:F16"/>
    <mergeCell ref="AF28:AI28"/>
    <mergeCell ref="AF13:AI13"/>
    <mergeCell ref="D18:F18"/>
    <mergeCell ref="G20:I20"/>
    <mergeCell ref="AG3:AI3"/>
    <mergeCell ref="B17:C17"/>
    <mergeCell ref="G29:I29"/>
    <mergeCell ref="D8:F8"/>
    <mergeCell ref="J14:P14"/>
    <mergeCell ref="D33:F33"/>
    <mergeCell ref="J28:P28"/>
    <mergeCell ref="A1:D1"/>
    <mergeCell ref="J13:P13"/>
    <mergeCell ref="G22:I22"/>
    <mergeCell ref="B19:C19"/>
    <mergeCell ref="AC3:AF3"/>
    <mergeCell ref="G31:I31"/>
    <mergeCell ref="B28:C28"/>
    <mergeCell ref="J30:P30"/>
    <mergeCell ref="G12:I12"/>
    <mergeCell ref="B9:C9"/>
    <mergeCell ref="G21:I21"/>
    <mergeCell ref="D20:F20"/>
    <mergeCell ref="AF10:AI10"/>
    <mergeCell ref="E1:N1"/>
    <mergeCell ref="B30:C30"/>
    <mergeCell ref="Q28:AE28"/>
    <mergeCell ref="B20:C20"/>
    <mergeCell ref="G23:I23"/>
    <mergeCell ref="D22:F22"/>
    <mergeCell ref="G7:I7"/>
    <mergeCell ref="J32:P32"/>
    <mergeCell ref="D13:F13"/>
    <mergeCell ref="Q20:AE20"/>
    <mergeCell ref="AF8:AI8"/>
    <mergeCell ref="Q14:AE14"/>
    <mergeCell ref="Q29:AE29"/>
    <mergeCell ref="AF17:AI17"/>
    <mergeCell ref="Q23:AE23"/>
    <mergeCell ref="AA1:AB1"/>
    <mergeCell ref="G18:I18"/>
    <mergeCell ref="G33:I33"/>
    <mergeCell ref="Q31:AE31"/>
    <mergeCell ref="J33:P33"/>
    <mergeCell ref="AF19:AI19"/>
    <mergeCell ref="J18:P18"/>
    <mergeCell ref="J8:P8"/>
    <mergeCell ref="Q15:AE15"/>
    <mergeCell ref="J17:P17"/>
    <mergeCell ref="B23:C23"/>
    <mergeCell ref="E3:N3"/>
    <mergeCell ref="B8:C8"/>
    <mergeCell ref="D15:F15"/>
    <mergeCell ref="J10:P10"/>
    <mergeCell ref="G25:I25"/>
    <mergeCell ref="D24:F24"/>
    <mergeCell ref="J19:P19"/>
    <mergeCell ref="J9:P9"/>
    <mergeCell ref="B10:C10"/>
    <mergeCell ref="AF29:AI29"/>
    <mergeCell ref="D26:F26"/>
    <mergeCell ref="G11:I11"/>
    <mergeCell ref="Q25:AE25"/>
    <mergeCell ref="D10:F10"/>
    <mergeCell ref="AA3:AB3"/>
    <mergeCell ref="D19:F19"/>
    <mergeCell ref="A3:D3"/>
    <mergeCell ref="Q33:AE33"/>
    <mergeCell ref="AF21:AI21"/>
  </mergeCells>
  <printOptions horizontalCentered="1"/>
  <pageMargins left="0.3937007874015748" right="0.3937007874015748" top="0.3937007874015748" bottom="0.3937007874015748" header="0.1968503937007874" footer="0.1968503937007874"/>
  <pageSetup orientation="landscape" paperSize="9" fitToHeight="0"/>
</worksheet>
</file>

<file path=xl/worksheets/sheet3.xml><?xml version="1.0" encoding="utf-8"?>
<worksheet xmlns="http://schemas.openxmlformats.org/spreadsheetml/2006/main">
  <sheetPr>
    <outlinePr summaryBelow="1" summaryRight="1"/>
    <pageSetUpPr fitToPage="1"/>
  </sheetPr>
  <dimension ref="A1:Q295"/>
  <sheetViews>
    <sheetView showGridLines="0" view="pageBreakPreview" zoomScaleNormal="100" zoomScaleSheetLayoutView="100" workbookViewId="0">
      <pane ySplit="10" topLeftCell="A11" activePane="bottomLeft" state="frozen"/>
      <selection pane="bottomLeft" activeCell="A1" sqref="A1"/>
    </sheetView>
  </sheetViews>
  <sheetFormatPr baseColWidth="8" defaultColWidth="9" defaultRowHeight="11"/>
  <cols>
    <col width="8.58203125" customWidth="1" style="25" min="1" max="2"/>
    <col width="8.58203125" customWidth="1" style="26" min="3" max="3"/>
    <col width="8.58203125" customWidth="1" style="25" min="4" max="5"/>
    <col width="40.58203125" customWidth="1" style="25" min="6" max="6"/>
    <col hidden="1" outlineLevel="1" width="31" customWidth="1" style="25" min="7" max="7"/>
    <col collapsed="1" width="16.33203125" customWidth="1" style="25" min="8" max="8"/>
    <col width="16.33203125" customWidth="1" style="25" min="9" max="9"/>
    <col width="25.58203125" customWidth="1" style="25" min="10" max="11"/>
    <col width="19.25" bestFit="1" customWidth="1" style="25" min="12" max="12"/>
    <col width="8.58203125" customWidth="1" style="25" min="13" max="17"/>
    <col width="9" customWidth="1" style="25" min="18" max="16384"/>
  </cols>
  <sheetData>
    <row r="1">
      <c r="A1" s="25">
        <f>IF(INDIRECT("変更履歴!E1")&lt;&gt;"",INDIRECT("変更履歴!E1"),"")</f>
        <v/>
      </c>
    </row>
    <row r="2">
      <c r="A2" s="25" t="inlineStr">
        <is>
          <t>単体テスト仕様書(クラス単体テスト)</t>
        </is>
      </c>
    </row>
    <row r="3"/>
    <row r="4">
      <c r="A4" s="25">
        <f>"サブシステム名："&amp;INDIRECT("変更履歴!E3")</f>
        <v/>
      </c>
    </row>
    <row r="5">
      <c r="A5" s="25" t="inlineStr">
        <is>
          <t>機能名：</t>
        </is>
      </c>
    </row>
    <row r="6">
      <c r="A6" s="25" t="inlineStr">
        <is>
          <t>取引名：</t>
        </is>
      </c>
      <c r="N6" s="25">
        <f>"作成者："&amp;INDIRECT("変更履歴!AC1")</f>
        <v/>
      </c>
      <c r="P6" s="25">
        <f>"更新者："&amp;INDIRECT("変更履歴!AC2")</f>
        <v/>
      </c>
    </row>
    <row r="7">
      <c r="A7" s="25" t="inlineStr">
        <is>
          <t>テストターゲット名：</t>
        </is>
      </c>
      <c r="N7" s="25">
        <f>"作成日："&amp;IF(INDIRECT("変更履歴!AG1")="","",TEXT(INDIRECT("変更履歴!AG1"),"yyyy/mm/dd"))</f>
        <v/>
      </c>
      <c r="P7" s="25">
        <f>"更新日："&amp;IF(INDIRECT("変更履歴!AG2")="","",TEXT(INDIRECT("変更履歴!AG2"),"yyyy/mm/dd"))</f>
        <v/>
      </c>
    </row>
    <row r="8" ht="11.5" customHeight="1" thickBot="1">
      <c r="A8" s="27" t="n"/>
      <c r="B8" s="27" t="n"/>
      <c r="C8" s="28" t="n"/>
      <c r="D8" s="27" t="n"/>
      <c r="E8" s="27" t="n"/>
      <c r="F8" s="27" t="n"/>
      <c r="G8" s="27" t="n"/>
      <c r="H8" s="27" t="n"/>
      <c r="I8" s="27" t="n"/>
      <c r="J8" s="27" t="n"/>
      <c r="K8" s="27" t="n"/>
      <c r="L8" s="27" t="n"/>
      <c r="M8" s="27" t="n"/>
      <c r="N8" s="27" t="n"/>
      <c r="O8" s="27" t="n"/>
      <c r="P8" s="27" t="n"/>
      <c r="Q8" s="27" t="n"/>
    </row>
    <row r="9" ht="11.5" customHeight="1" thickTop="1"/>
    <row r="10" customFormat="1" s="88">
      <c r="A10" s="31" t="inlineStr">
        <is>
          <t>ケースNo</t>
        </is>
      </c>
      <c r="B10" s="32" t="inlineStr">
        <is>
          <t>大項目</t>
        </is>
      </c>
      <c r="C10" s="32" t="inlineStr">
        <is>
          <t>中項目</t>
        </is>
      </c>
      <c r="D10" s="32" t="inlineStr">
        <is>
          <t>小項目</t>
        </is>
      </c>
      <c r="E10" s="32" t="inlineStr">
        <is>
          <t>詳細</t>
        </is>
      </c>
      <c r="F10" s="32" t="inlineStr">
        <is>
          <t>観点</t>
        </is>
      </c>
      <c r="G10" s="32" t="inlineStr">
        <is>
          <t>対象外理由</t>
        </is>
      </c>
      <c r="H10" s="32" t="inlineStr">
        <is>
          <t>対応設計書</t>
        </is>
      </c>
      <c r="I10" s="32" t="inlineStr">
        <is>
          <t>対応箇所</t>
        </is>
      </c>
      <c r="J10" s="33" t="inlineStr">
        <is>
          <t>テスト内容</t>
        </is>
      </c>
      <c r="K10" s="34" t="inlineStr">
        <is>
          <t>想定結果</t>
        </is>
      </c>
      <c r="L10" s="35" t="inlineStr">
        <is>
          <t>テストコード</t>
        </is>
      </c>
      <c r="M10" s="36" t="inlineStr">
        <is>
          <t>実施者</t>
        </is>
      </c>
      <c r="N10" s="36" t="inlineStr">
        <is>
          <t>実施日</t>
        </is>
      </c>
      <c r="O10" s="36" t="inlineStr">
        <is>
          <t>実施結果</t>
        </is>
      </c>
      <c r="P10" s="36" t="inlineStr">
        <is>
          <t>確認者</t>
        </is>
      </c>
      <c r="Q10" s="37" t="inlineStr">
        <is>
          <t>確認日</t>
        </is>
      </c>
    </row>
    <row r="11" ht="22" customHeight="1">
      <c r="A11" s="38">
        <f t="array" ref="A1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_xlpm.テスト内容数（テスト内容が空の場合は1）, IF(_xlpm.テスト内容数=0,1,_xlpm.テスト内容数),
_xlpm.詳細項目数&amp;"-"&amp;_xlpm.観点数&amp;"-"&amp;_xlpm.テスト内容数（テスト内容が空の場合は1）
)</f>
        <v/>
      </c>
      <c r="B11" s="39" t="inlineStr">
        <is>
          <t>バリデーション</t>
        </is>
      </c>
      <c r="C11" s="40" t="inlineStr">
        <is>
          <t>単項目バリデーション</t>
        </is>
      </c>
      <c r="D11" s="41" t="inlineStr">
        <is>
          <t>必須バリデーション</t>
        </is>
      </c>
      <c r="E11" s="40" t="inlineStr">
        <is>
          <t>必須項目</t>
        </is>
      </c>
      <c r="F11" s="40" t="inlineStr">
        <is>
          <t>必須項目が未入力の場合、エラーとなること。</t>
        </is>
      </c>
      <c r="G11" s="107" t="n"/>
      <c r="H11" s="107" t="n"/>
      <c r="I11" s="107" t="n"/>
      <c r="J11" s="107" t="n"/>
      <c r="K11" s="107" t="n"/>
      <c r="L11" s="44" t="n"/>
      <c r="M11" s="283" t="n"/>
      <c r="N11" s="46" t="n"/>
      <c r="O11" s="46" t="n"/>
      <c r="P11" s="283" t="n"/>
      <c r="Q11" s="82" t="n"/>
    </row>
    <row r="12" ht="22" customHeight="1">
      <c r="A12" s="38">
        <f t="array" ref="A12">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_xlpm.テスト内容数（テスト内容が空の場合は1）, IF(_xlpm.テスト内容数=0,1,_xlpm.テスト内容数),
_xlpm.詳細項目数&amp;"-"&amp;_xlpm.観点数&amp;"-"&amp;_xlpm.テスト内容数（テスト内容が空の場合は1）
)</f>
        <v/>
      </c>
      <c r="B12" s="48" t="n"/>
      <c r="C12" s="48" t="n"/>
      <c r="D12" s="41" t="n"/>
      <c r="E12" s="40" t="inlineStr">
        <is>
          <t>任意項目</t>
        </is>
      </c>
      <c r="F12" s="40" t="inlineStr">
        <is>
          <t>必須項目が入力され、任意項目が未入力の場合、エラーとならないこと。</t>
        </is>
      </c>
      <c r="G12" s="107" t="n"/>
      <c r="H12" s="107" t="n"/>
      <c r="I12" s="107" t="n"/>
      <c r="J12" s="107" t="n"/>
      <c r="K12" s="107" t="n"/>
      <c r="L12" s="44" t="n"/>
      <c r="M12" s="283" t="n"/>
      <c r="N12" s="46" t="n"/>
      <c r="O12" s="46" t="n"/>
      <c r="P12" s="283" t="n"/>
      <c r="Q12" s="82" t="n"/>
    </row>
    <row r="13" ht="33" customFormat="1" customHeight="1" s="88">
      <c r="A13" s="38">
        <f t="array" ref="A13">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_xlpm.テスト内容数（テスト内容が空の場合は1）, IF(_xlpm.テスト内容数=0,1,_xlpm.テスト内容数),
_xlpm.詳細項目数&amp;"-"&amp;_xlpm.観点数&amp;"-"&amp;_xlpm.テスト内容数（テスト内容が空の場合は1）
)</f>
        <v/>
      </c>
      <c r="B13" s="48" t="n"/>
      <c r="C13" s="48" t="n"/>
      <c r="D13" s="40" t="inlineStr">
        <is>
          <t>文字列長バリデーション</t>
        </is>
      </c>
      <c r="E13" s="40" t="inlineStr">
        <is>
          <t>-</t>
        </is>
      </c>
      <c r="F13" s="40" t="inlineStr">
        <is>
          <t>文字列項目に最大長が入力された場合、エラーとならないこと。</t>
        </is>
      </c>
      <c r="G13" s="107" t="n"/>
      <c r="H13" s="107" t="n"/>
      <c r="I13" s="107" t="n"/>
      <c r="J13" s="107" t="n"/>
      <c r="K13" s="107" t="n"/>
      <c r="L13" s="44" t="n"/>
      <c r="M13" s="82" t="n"/>
      <c r="N13" s="46" t="n"/>
      <c r="O13" s="82" t="n"/>
      <c r="P13" s="46" t="n"/>
      <c r="Q13" s="283" t="n"/>
    </row>
    <row r="14" ht="22" customFormat="1" customHeight="1" s="88">
      <c r="A14" s="38">
        <f t="array" ref="A14">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_xlpm.テスト内容数（テスト内容が空の場合は1）, IF(_xlpm.テスト内容数=0,1,_xlpm.テスト内容数),
_xlpm.詳細項目数&amp;"-"&amp;_xlpm.観点数&amp;"-"&amp;_xlpm.テスト内容数（テスト内容が空の場合は1）
)</f>
        <v/>
      </c>
      <c r="B14" s="48" t="n"/>
      <c r="C14" s="48" t="n"/>
      <c r="D14" s="41" t="n"/>
      <c r="E14" s="41" t="n"/>
      <c r="F14" s="40" t="inlineStr">
        <is>
          <t>文字列項目に最大長＋1が入力された場合、エラーとなること。</t>
        </is>
      </c>
      <c r="G14" s="107" t="n"/>
      <c r="H14" s="107" t="n"/>
      <c r="I14" s="107" t="n"/>
      <c r="J14" s="107" t="n"/>
      <c r="K14" s="107" t="n"/>
      <c r="L14" s="44" t="n"/>
      <c r="M14" s="82" t="n"/>
      <c r="N14" s="46" t="n"/>
      <c r="O14" s="82" t="n"/>
      <c r="P14" s="46" t="n"/>
      <c r="Q14" s="283" t="n"/>
    </row>
    <row r="15" ht="22" customFormat="1" customHeight="1" s="88">
      <c r="A15" s="38">
        <f t="array" ref="A15">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_xlpm.テスト内容数（テスト内容が空の場合は1）, IF(_xlpm.テスト内容数=0,1,_xlpm.テスト内容数),
_xlpm.詳細項目数&amp;"-"&amp;_xlpm.観点数&amp;"-"&amp;_xlpm.テスト内容数（テスト内容が空の場合は1）
)</f>
        <v/>
      </c>
      <c r="B15" s="48" t="n"/>
      <c r="C15" s="48" t="n"/>
      <c r="D15" s="41" t="n"/>
      <c r="E15" s="41" t="n"/>
      <c r="F15" s="99" t="inlineStr">
        <is>
          <t>文字列項目に最小長が入力された場合、エラーとならないこと。</t>
        </is>
      </c>
      <c r="G15" s="107" t="n"/>
      <c r="H15" s="107" t="n"/>
      <c r="I15" s="99" t="n"/>
      <c r="J15" s="107" t="n"/>
      <c r="K15" s="107" t="n"/>
      <c r="L15" s="44" t="n"/>
      <c r="M15" s="283" t="n"/>
      <c r="N15" s="283" t="n"/>
      <c r="O15" s="82" t="n"/>
      <c r="P15" s="46" t="n"/>
      <c r="Q15" s="283" t="n"/>
    </row>
    <row r="16" ht="22" customFormat="1" customHeight="1" s="88">
      <c r="A16" s="38">
        <f t="array" ref="A16">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_xlpm.テスト内容数（テスト内容が空の場合は1）, IF(_xlpm.テスト内容数=0,1,_xlpm.テスト内容数),
_xlpm.詳細項目数&amp;"-"&amp;_xlpm.観点数&amp;"-"&amp;_xlpm.テスト内容数（テスト内容が空の場合は1）
)</f>
        <v/>
      </c>
      <c r="B16" s="48" t="n"/>
      <c r="C16" s="48" t="n"/>
      <c r="D16" s="41" t="n"/>
      <c r="E16" s="41" t="n"/>
      <c r="F16" s="99" t="inlineStr">
        <is>
          <t>文字列項目に最小長－1が入力された場合、エラーとなること。</t>
        </is>
      </c>
      <c r="G16" s="107" t="n"/>
      <c r="H16" s="107" t="n"/>
      <c r="I16" s="99" t="n"/>
      <c r="J16" s="107" t="n"/>
      <c r="K16" s="107" t="n"/>
      <c r="L16" s="44" t="n"/>
      <c r="M16" s="283" t="n"/>
      <c r="N16" s="82" t="n"/>
      <c r="O16" s="46" t="n"/>
      <c r="P16" s="283" t="n"/>
      <c r="Q16" s="82" t="n"/>
    </row>
    <row r="17" ht="33" customFormat="1" customHeight="1" s="88">
      <c r="A17" s="38">
        <f t="array" ref="A17">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_xlpm.テスト内容数（テスト内容が空の場合は1）, IF(_xlpm.テスト内容数=0,1,_xlpm.テスト内容数),
_xlpm.詳細項目数&amp;"-"&amp;_xlpm.観点数&amp;"-"&amp;_xlpm.テスト内容数（テスト内容が空の場合は1）
)</f>
        <v/>
      </c>
      <c r="B17" s="48" t="n"/>
      <c r="C17" s="48" t="n"/>
      <c r="D17" s="49" t="n"/>
      <c r="E17" s="50" t="n"/>
      <c r="F17" s="99" t="inlineStr">
        <is>
          <t>サロゲートペア文字を許容する設計となっている場合、サロゲートペア文字を含んだ値が入力された結果がエラーとならないこと。</t>
        </is>
      </c>
      <c r="G17" s="107" t="n"/>
      <c r="H17" s="107" t="n"/>
      <c r="I17" s="99" t="n"/>
      <c r="J17" s="107" t="n"/>
      <c r="K17" s="105" t="n"/>
      <c r="L17" s="44" t="n"/>
      <c r="M17" s="283" t="n"/>
      <c r="N17" s="82" t="n"/>
      <c r="O17" s="46" t="n"/>
      <c r="P17" s="283" t="n"/>
      <c r="Q17" s="82" t="n"/>
    </row>
    <row r="18" ht="22" customHeight="1">
      <c r="A18" s="38">
        <f t="array" ref="A18">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_xlpm.テスト内容数（テスト内容が空の場合は1）, IF(_xlpm.テスト内容数=0,1,_xlpm.テスト内容数),
_xlpm.詳細項目数&amp;"-"&amp;_xlpm.観点数&amp;"-"&amp;_xlpm.テスト内容数（テスト内容が空の場合は1）
)</f>
        <v/>
      </c>
      <c r="B18" s="48" t="n"/>
      <c r="C18" s="48" t="n"/>
      <c r="D18" s="52" t="inlineStr">
        <is>
          <t>数値バリデーション</t>
        </is>
      </c>
      <c r="E18" s="41" t="inlineStr">
        <is>
          <t>桁数</t>
        </is>
      </c>
      <c r="F18" s="40" t="inlineStr">
        <is>
          <t>数値項目の整数部に最大桁、小数部に最大桁が入力された場合、エラーとならないこと。</t>
        </is>
      </c>
      <c r="G18" s="107" t="n"/>
      <c r="H18" s="107" t="n"/>
      <c r="I18" s="107" t="n"/>
      <c r="J18" s="107" t="n"/>
      <c r="K18" s="107" t="n"/>
      <c r="L18" s="44" t="n"/>
      <c r="M18" s="283" t="n"/>
      <c r="N18" s="82" t="n"/>
      <c r="O18" s="46" t="n"/>
      <c r="P18" s="283" t="n"/>
      <c r="Q18" s="82" t="n"/>
    </row>
    <row r="19" ht="22" customHeight="1">
      <c r="A19" s="38">
        <f t="array" ref="A19">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_xlpm.テスト内容数（テスト内容が空の場合は1）, IF(_xlpm.テスト内容数=0,1,_xlpm.テスト内容数),
_xlpm.詳細項目数&amp;"-"&amp;_xlpm.観点数&amp;"-"&amp;_xlpm.テスト内容数（テスト内容が空の場合は1）
)</f>
        <v/>
      </c>
      <c r="B19" s="48" t="n"/>
      <c r="C19" s="48" t="n"/>
      <c r="D19" s="52" t="n"/>
      <c r="E19" s="41" t="n"/>
      <c r="F19" s="40" t="inlineStr">
        <is>
          <t>数値項目の整数部に最大桁＋1、小数部に最大桁が入力された場合、エラーとなること。</t>
        </is>
      </c>
      <c r="G19" s="107" t="n"/>
      <c r="H19" s="107" t="n"/>
      <c r="I19" s="107" t="n"/>
      <c r="J19" s="107" t="n"/>
      <c r="K19" s="107" t="n"/>
      <c r="L19" s="44" t="n"/>
      <c r="M19" s="283" t="n"/>
      <c r="N19" s="82" t="n"/>
      <c r="O19" s="46" t="n"/>
      <c r="P19" s="283" t="n"/>
      <c r="Q19" s="82" t="n"/>
    </row>
    <row r="20" ht="22" customHeight="1">
      <c r="A20" s="38">
        <f t="array" ref="A20">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_xlpm.テスト内容数（テスト内容が空の場合は1）, IF(_xlpm.テスト内容数=0,1,_xlpm.テスト内容数),
_xlpm.詳細項目数&amp;"-"&amp;_xlpm.観点数&amp;"-"&amp;_xlpm.テスト内容数（テスト内容が空の場合は1）
)</f>
        <v/>
      </c>
      <c r="B20" s="48" t="n"/>
      <c r="C20" s="48" t="n"/>
      <c r="D20" s="52" t="n"/>
      <c r="E20" s="50" t="n"/>
      <c r="F20" s="99" t="inlineStr">
        <is>
          <t>数値項目の整数部に最大桁、小数部に最大桁＋１が入力された場合、エラーとなること。</t>
        </is>
      </c>
      <c r="G20" s="107" t="n"/>
      <c r="H20" s="107" t="n"/>
      <c r="I20" s="99" t="n"/>
      <c r="J20" s="107" t="n"/>
      <c r="K20" s="107" t="n"/>
      <c r="L20" s="44" t="n"/>
      <c r="M20" s="283" t="n"/>
      <c r="N20" s="82" t="n"/>
      <c r="O20" s="46" t="n"/>
      <c r="P20" s="283" t="n"/>
      <c r="Q20" s="82" t="n"/>
    </row>
    <row r="21" ht="22" customHeight="1">
      <c r="A21" s="38">
        <f t="array" ref="A2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_xlpm.テスト内容数（テスト内容が空の場合は1）, IF(_xlpm.テスト内容数=0,1,_xlpm.テスト内容数),
_xlpm.詳細項目数&amp;"-"&amp;_xlpm.観点数&amp;"-"&amp;_xlpm.テスト内容数（テスト内容が空の場合は1）
)</f>
        <v/>
      </c>
      <c r="B21" s="48" t="n"/>
      <c r="C21" s="48" t="n"/>
      <c r="D21" s="52" t="n"/>
      <c r="E21" s="41" t="inlineStr">
        <is>
          <t>有効範囲</t>
        </is>
      </c>
      <c r="F21" s="40" t="inlineStr">
        <is>
          <t>数値項目に有効範囲の上限値が入力された場合、エラーとならないこと。</t>
        </is>
      </c>
      <c r="G21" s="107" t="n"/>
      <c r="H21" s="107" t="n"/>
      <c r="I21" s="107" t="n"/>
      <c r="J21" s="107" t="n"/>
      <c r="K21" s="107" t="n"/>
      <c r="L21" s="44" t="n"/>
      <c r="M21" s="82" t="n"/>
      <c r="N21" s="46" t="n"/>
      <c r="O21" s="82" t="n"/>
      <c r="P21" s="283" t="n"/>
      <c r="Q21" s="82" t="n"/>
    </row>
    <row r="22" ht="22" customHeight="1">
      <c r="A22" s="38">
        <f t="array" ref="A22">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_xlpm.テスト内容数（テスト内容が空の場合は1）, IF(_xlpm.テスト内容数=0,1,_xlpm.テスト内容数),
_xlpm.詳細項目数&amp;"-"&amp;_xlpm.観点数&amp;"-"&amp;_xlpm.テスト内容数（テスト内容が空の場合は1）
)</f>
        <v/>
      </c>
      <c r="B22" s="48" t="n"/>
      <c r="C22" s="48" t="n"/>
      <c r="D22" s="52" t="n"/>
      <c r="E22" s="41" t="n"/>
      <c r="F22" s="40" t="inlineStr">
        <is>
          <t>数値項目に有効範囲の上限値＋1が入力された場合、エラーとなること。</t>
        </is>
      </c>
      <c r="G22" s="107" t="n"/>
      <c r="H22" s="107" t="n"/>
      <c r="I22" s="107" t="n"/>
      <c r="J22" s="107" t="n"/>
      <c r="K22" s="107" t="n"/>
      <c r="L22" s="44" t="n"/>
      <c r="M22" s="82" t="n"/>
      <c r="N22" s="46" t="n"/>
      <c r="O22" s="82" t="n"/>
      <c r="P22" s="283" t="n"/>
      <c r="Q22" s="82" t="n"/>
    </row>
    <row r="23" ht="22" customHeight="1">
      <c r="A23" s="38">
        <f t="array" ref="A23">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_xlpm.テスト内容数（テスト内容が空の場合は1）, IF(_xlpm.テスト内容数=0,1,_xlpm.テスト内容数),
_xlpm.詳細項目数&amp;"-"&amp;_xlpm.観点数&amp;"-"&amp;_xlpm.テスト内容数（テスト内容が空の場合は1）
)</f>
        <v/>
      </c>
      <c r="B23" s="48" t="n"/>
      <c r="C23" s="48" t="n"/>
      <c r="D23" s="52" t="n"/>
      <c r="E23" s="41" t="n"/>
      <c r="F23" s="40" t="inlineStr">
        <is>
          <t>数値項目に有効範囲の下限値が入力された場合、エラーとならないこと。</t>
        </is>
      </c>
      <c r="G23" s="107" t="n"/>
      <c r="H23" s="107" t="n"/>
      <c r="I23" s="107" t="n"/>
      <c r="J23" s="107" t="n"/>
      <c r="K23" s="107" t="n"/>
      <c r="L23" s="44" t="n"/>
      <c r="M23" s="82" t="n"/>
      <c r="N23" s="46" t="n"/>
      <c r="O23" s="82" t="n"/>
      <c r="P23" s="283" t="n"/>
      <c r="Q23" s="82" t="n"/>
    </row>
    <row r="24" ht="22" customHeight="1">
      <c r="A24" s="38">
        <f t="array" ref="A24">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_xlpm.テスト内容数（テスト内容が空の場合は1）, IF(_xlpm.テスト内容数=0,1,_xlpm.テスト内容数),
_xlpm.詳細項目数&amp;"-"&amp;_xlpm.観点数&amp;"-"&amp;_xlpm.テスト内容数（テスト内容が空の場合は1）
)</f>
        <v/>
      </c>
      <c r="B24" s="48" t="n"/>
      <c r="C24" s="48" t="n"/>
      <c r="D24" s="49" t="n"/>
      <c r="E24" s="50" t="n"/>
      <c r="F24" s="40" t="inlineStr">
        <is>
          <t>数値項目に有効範囲の下限値－1が入力された場合、エラーとなること。</t>
        </is>
      </c>
      <c r="G24" s="107" t="n"/>
      <c r="H24" s="107" t="n"/>
      <c r="I24" s="107" t="n"/>
      <c r="J24" s="107" t="n"/>
      <c r="K24" s="107" t="n"/>
      <c r="L24" s="44" t="n"/>
      <c r="M24" s="82" t="n"/>
      <c r="N24" s="46" t="n"/>
      <c r="O24" s="82" t="n"/>
      <c r="P24" s="283" t="n"/>
      <c r="Q24" s="82" t="n"/>
    </row>
    <row r="25" ht="22" customFormat="1" customHeight="1" s="88">
      <c r="A25" s="38">
        <f t="array" ref="A25">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_xlpm.テスト内容数（テスト内容が空の場合は1）, IF(_xlpm.テスト内容数=0,1,_xlpm.テスト内容数),
_xlpm.詳細項目数&amp;"-"&amp;_xlpm.観点数&amp;"-"&amp;_xlpm.テスト内容数（テスト内容が空の場合は1）
)</f>
        <v/>
      </c>
      <c r="B25" s="48" t="n"/>
      <c r="C25" s="48" t="n"/>
      <c r="D25" s="52" t="inlineStr">
        <is>
          <t>文字種バリデーション</t>
        </is>
      </c>
      <c r="E25" s="52" t="inlineStr">
        <is>
          <t>-</t>
        </is>
      </c>
      <c r="F25" s="40" t="inlineStr">
        <is>
          <t>許容対象の文字が入力された場合、エラーとならないこと。</t>
        </is>
      </c>
      <c r="G25" s="107" t="n"/>
      <c r="H25" s="107" t="n"/>
      <c r="I25" s="107" t="n"/>
      <c r="J25" s="107" t="n"/>
      <c r="K25" s="107" t="n"/>
      <c r="L25" s="44" t="n"/>
      <c r="M25" s="82" t="n"/>
      <c r="N25" s="46" t="n"/>
      <c r="O25" s="82" t="n"/>
      <c r="P25" s="46" t="n"/>
      <c r="Q25" s="283" t="n"/>
    </row>
    <row r="26" customFormat="1" s="88">
      <c r="A26" s="38">
        <f t="array" ref="A26">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_xlpm.テスト内容数（テスト内容が空の場合は1）, IF(_xlpm.テスト内容数=0,1,_xlpm.テスト内容数),
_xlpm.詳細項目数&amp;"-"&amp;_xlpm.観点数&amp;"-"&amp;_xlpm.テスト内容数（テスト内容が空の場合は1）
)</f>
        <v/>
      </c>
      <c r="B26" s="48" t="n"/>
      <c r="C26" s="48" t="n"/>
      <c r="D26" s="52" t="n"/>
      <c r="E26" s="41" t="n"/>
      <c r="F26" s="40" t="inlineStr">
        <is>
          <t>許容対象外の文字が入力された場合、エラーとなること。</t>
        </is>
      </c>
      <c r="G26" s="107" t="n"/>
      <c r="H26" s="107" t="n"/>
      <c r="I26" s="107" t="n"/>
      <c r="J26" s="107" t="n"/>
      <c r="K26" s="107" t="n"/>
      <c r="L26" s="44" t="n"/>
      <c r="M26" s="283" t="n"/>
      <c r="N26" s="283" t="n"/>
      <c r="O26" s="82" t="n"/>
      <c r="P26" s="46" t="n"/>
      <c r="Q26" s="283" t="n"/>
    </row>
    <row r="27" ht="33" customFormat="1" customHeight="1" s="88">
      <c r="A27" s="38">
        <f t="array" ref="A27">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_xlpm.テスト内容数（テスト内容が空の場合は1）, IF(_xlpm.テスト内容数=0,1,_xlpm.テスト内容数),
_xlpm.詳細項目数&amp;"-"&amp;_xlpm.観点数&amp;"-"&amp;_xlpm.テスト内容数（テスト内容が空の場合は1）
)</f>
        <v/>
      </c>
      <c r="B27" s="48" t="n"/>
      <c r="C27" s="48" t="n"/>
      <c r="D27" s="53" t="inlineStr">
        <is>
          <t>その他のバリデーション</t>
        </is>
      </c>
      <c r="E27" s="40" t="inlineStr">
        <is>
          <t>コード値</t>
        </is>
      </c>
      <c r="F27" s="40" t="inlineStr">
        <is>
          <t>コード値を入力値とする項目について、有効範囲内の値が入力された場合、エラーとならないこと。</t>
        </is>
      </c>
      <c r="G27" s="107" t="n"/>
      <c r="H27" s="107" t="n"/>
      <c r="I27" s="107" t="n"/>
      <c r="J27" s="107" t="n"/>
      <c r="K27" s="107" t="n"/>
      <c r="L27" s="44" t="n"/>
      <c r="M27" s="82" t="n"/>
      <c r="N27" s="46" t="n"/>
      <c r="O27" s="82" t="n"/>
      <c r="P27" s="46" t="n"/>
      <c r="Q27" s="283" t="n"/>
    </row>
    <row r="28" ht="22" customFormat="1" customHeight="1" s="88">
      <c r="A28" s="38">
        <f t="array" ref="A28">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_xlpm.テスト内容数（テスト内容が空の場合は1）, IF(_xlpm.テスト内容数=0,1,_xlpm.テスト内容数),
_xlpm.詳細項目数&amp;"-"&amp;_xlpm.観点数&amp;"-"&amp;_xlpm.テスト内容数（テスト内容が空の場合は1）
)</f>
        <v/>
      </c>
      <c r="B28" s="48" t="n"/>
      <c r="C28" s="48" t="n"/>
      <c r="D28" s="52" t="n"/>
      <c r="E28" s="41" t="n"/>
      <c r="F28" s="40" t="inlineStr">
        <is>
          <t>コード値を入力値とする項目について、有効範囲外の値が入力された場合、エラーとなること。</t>
        </is>
      </c>
      <c r="G28" s="107" t="n"/>
      <c r="H28" s="107" t="n"/>
      <c r="I28" s="107" t="n"/>
      <c r="J28" s="107" t="n"/>
      <c r="K28" s="107" t="n"/>
      <c r="L28" s="44" t="n"/>
      <c r="M28" s="283" t="n"/>
      <c r="N28" s="283" t="n"/>
      <c r="O28" s="82" t="n"/>
      <c r="P28" s="46" t="n"/>
      <c r="Q28" s="283" t="n"/>
    </row>
    <row r="29" ht="22" customHeight="1">
      <c r="A29" s="38">
        <f t="array" ref="A29">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_xlpm.テスト内容数（テスト内容が空の場合は1）, IF(_xlpm.テスト内容数=0,1,_xlpm.テスト内容数),
_xlpm.詳細項目数&amp;"-"&amp;_xlpm.観点数&amp;"-"&amp;_xlpm.テスト内容数（テスト内容が空の場合は1）
)</f>
        <v/>
      </c>
      <c r="B29" s="48" t="n"/>
      <c r="C29" s="48" t="n"/>
      <c r="D29" s="41" t="n"/>
      <c r="E29" s="40" t="inlineStr">
        <is>
          <t>日付</t>
        </is>
      </c>
      <c r="F29" s="40" t="inlineStr">
        <is>
          <t>日付項目に有効な書式の値が入力された場合、エラーとならないこと。</t>
        </is>
      </c>
      <c r="G29" s="107" t="n"/>
      <c r="H29" s="107" t="n"/>
      <c r="I29" s="107" t="n"/>
      <c r="J29" s="107" t="n"/>
      <c r="K29" s="107" t="n"/>
      <c r="L29" s="44" t="n"/>
      <c r="M29" s="82" t="n"/>
      <c r="N29" s="46" t="n"/>
      <c r="O29" s="82" t="n"/>
      <c r="P29" s="82" t="n"/>
      <c r="Q29" s="82" t="n"/>
    </row>
    <row r="30" ht="22" customHeight="1">
      <c r="A30" s="38">
        <f t="array" ref="A30">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_xlpm.テスト内容数（テスト内容が空の場合は1）, IF(_xlpm.テスト内容数=0,1,_xlpm.テスト内容数),
_xlpm.詳細項目数&amp;"-"&amp;_xlpm.観点数&amp;"-"&amp;_xlpm.テスト内容数（テスト内容が空の場合は1）
)</f>
        <v/>
      </c>
      <c r="B30" s="48" t="n"/>
      <c r="C30" s="48" t="n"/>
      <c r="D30" s="52" t="n"/>
      <c r="E30" s="41" t="n"/>
      <c r="F30" s="40" t="inlineStr">
        <is>
          <t>日付項目に無効な書式の値が入力された場合、エラーとなること。</t>
        </is>
      </c>
      <c r="G30" s="107" t="n"/>
      <c r="H30" s="107" t="n"/>
      <c r="I30" s="107" t="n"/>
      <c r="J30" s="107" t="n"/>
      <c r="K30" s="107" t="n"/>
      <c r="L30" s="44" t="n"/>
      <c r="M30" s="82" t="n"/>
      <c r="N30" s="82" t="n"/>
      <c r="O30" s="82" t="n"/>
      <c r="P30" s="82" t="n"/>
      <c r="Q30" s="82" t="n"/>
    </row>
    <row r="31" ht="22" customHeight="1">
      <c r="A31" s="38">
        <f t="array" ref="A3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_xlpm.テスト内容数（テスト内容が空の場合は1）, IF(_xlpm.テスト内容数=0,1,_xlpm.テスト内容数),
_xlpm.詳細項目数&amp;"-"&amp;_xlpm.観点数&amp;"-"&amp;_xlpm.テスト内容数（テスト内容が空の場合は1）
)</f>
        <v/>
      </c>
      <c r="B31" s="48" t="n"/>
      <c r="C31" s="48" t="n"/>
      <c r="D31" s="52" t="n"/>
      <c r="E31" s="41" t="n"/>
      <c r="F31" s="40" t="inlineStr">
        <is>
          <t>日付項目に実在日が入力された場合、エラーとならないこと。</t>
        </is>
      </c>
      <c r="G31" s="107" t="n"/>
      <c r="H31" s="107" t="n"/>
      <c r="I31" s="107" t="n"/>
      <c r="J31" s="107" t="n"/>
      <c r="K31" s="107" t="n"/>
      <c r="L31" s="44" t="n"/>
      <c r="M31" s="82" t="n"/>
      <c r="N31" s="46" t="n"/>
      <c r="O31" s="82" t="n"/>
      <c r="P31" s="82" t="n"/>
      <c r="Q31" s="82" t="n"/>
    </row>
    <row r="32" ht="22" customHeight="1">
      <c r="A32" s="38">
        <f t="array" ref="A32">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_xlpm.テスト内容数（テスト内容が空の場合は1）, IF(_xlpm.テスト内容数=0,1,_xlpm.テスト内容数),
_xlpm.詳細項目数&amp;"-"&amp;_xlpm.観点数&amp;"-"&amp;_xlpm.テスト内容数（テスト内容が空の場合は1）
)</f>
        <v/>
      </c>
      <c r="B32" s="48" t="n"/>
      <c r="C32" s="48" t="n"/>
      <c r="D32" s="52" t="n"/>
      <c r="E32" s="41" t="n"/>
      <c r="F32" s="40" t="inlineStr">
        <is>
          <t>日付項目に実在日以外が入力された場合、エラーとなること。</t>
        </is>
      </c>
      <c r="G32" s="107" t="n"/>
      <c r="H32" s="107" t="n"/>
      <c r="I32" s="107" t="n"/>
      <c r="J32" s="107" t="n"/>
      <c r="K32" s="107" t="n"/>
      <c r="L32" s="44" t="n"/>
      <c r="M32" s="82" t="n"/>
      <c r="N32" s="82" t="n"/>
      <c r="O32" s="82" t="n"/>
      <c r="P32" s="82" t="n"/>
      <c r="Q32" s="82" t="n"/>
    </row>
    <row r="33" ht="22" customHeight="1">
      <c r="A33" s="38">
        <f t="array" ref="A33">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_xlpm.テスト内容数（テスト内容が空の場合は1）, IF(_xlpm.テスト内容数=0,1,_xlpm.テスト内容数),
_xlpm.詳細項目数&amp;"-"&amp;_xlpm.観点数&amp;"-"&amp;_xlpm.テスト内容数（テスト内容が空の場合は1）
)</f>
        <v/>
      </c>
      <c r="B33" s="48" t="n"/>
      <c r="C33" s="48" t="n"/>
      <c r="D33" s="52" t="n"/>
      <c r="E33" s="40" t="inlineStr">
        <is>
          <t>メールアドレス</t>
        </is>
      </c>
      <c r="F33" s="99" t="inlineStr">
        <is>
          <t>メールアドレス項目に有効な値が入力された場合、エラーとならないこと。</t>
        </is>
      </c>
      <c r="G33" s="107" t="n"/>
      <c r="H33" s="107" t="n"/>
      <c r="I33" s="99" t="n"/>
      <c r="J33" s="107" t="n"/>
      <c r="K33" s="107" t="n"/>
      <c r="L33" s="44" t="n"/>
      <c r="M33" s="82" t="n"/>
      <c r="N33" s="82" t="n"/>
      <c r="O33" s="82" t="n"/>
      <c r="P33" s="82" t="n"/>
      <c r="Q33" s="82" t="n"/>
    </row>
    <row r="34" ht="22" customHeight="1">
      <c r="A34" s="38">
        <f t="array" ref="A34">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_xlpm.テスト内容数（テスト内容が空の場合は1）, IF(_xlpm.テスト内容数=0,1,_xlpm.テスト内容数),
_xlpm.詳細項目数&amp;"-"&amp;_xlpm.観点数&amp;"-"&amp;_xlpm.テスト内容数（テスト内容が空の場合は1）
)</f>
        <v/>
      </c>
      <c r="B34" s="48" t="n"/>
      <c r="C34" s="48" t="n"/>
      <c r="D34" s="52" t="n"/>
      <c r="E34" s="50" t="n"/>
      <c r="F34" s="99" t="inlineStr">
        <is>
          <t>メールアドレス項目に無効な値が入力された場合、エラーとなること。</t>
        </is>
      </c>
      <c r="G34" s="107" t="n"/>
      <c r="H34" s="107" t="n"/>
      <c r="I34" s="99" t="n"/>
      <c r="J34" s="107" t="n"/>
      <c r="K34" s="107" t="n"/>
      <c r="L34" s="44" t="n"/>
      <c r="M34" s="82" t="n"/>
      <c r="N34" s="82" t="n"/>
      <c r="O34" s="82" t="n"/>
      <c r="P34" s="82" t="n"/>
      <c r="Q34" s="82" t="n"/>
    </row>
    <row r="35" ht="44" customHeight="1">
      <c r="A35" s="38">
        <f t="array" ref="A35">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_xlpm.テスト内容数（テスト内容が空の場合は1）, IF(_xlpm.テスト内容数=0,1,_xlpm.テスト内容数),
_xlpm.詳細項目数&amp;"-"&amp;_xlpm.観点数&amp;"-"&amp;_xlpm.テスト内容数（テスト内容が空の場合は1）
)</f>
        <v/>
      </c>
      <c r="B35" s="48" t="n"/>
      <c r="C35" s="54" t="n"/>
      <c r="D35" s="41" t="n"/>
      <c r="E35" s="40" t="inlineStr">
        <is>
          <t>アプリケーション固有のバリデーション</t>
        </is>
      </c>
      <c r="F35" s="40" t="inlineStr">
        <is>
          <t>アプリケーション固有のバリデーションがある場合、バリデーションの結果が［システム機能設計書の記載通り］であること。</t>
        </is>
      </c>
      <c r="G35" s="107" t="n"/>
      <c r="H35" s="99" t="n"/>
      <c r="I35" s="99" t="n"/>
      <c r="J35" s="99" t="n"/>
      <c r="K35" s="107" t="n"/>
      <c r="L35" s="44" t="n"/>
      <c r="M35" s="82" t="n"/>
      <c r="N35" s="46" t="n"/>
      <c r="O35" s="82" t="n"/>
      <c r="P35" s="82" t="n"/>
      <c r="Q35" s="82" t="n"/>
    </row>
    <row r="36" ht="33" customHeight="1">
      <c r="A36" s="38">
        <f t="array" ref="A36">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_xlpm.テスト内容数（テスト内容が空の場合は1）, IF(_xlpm.テスト内容数=0,1,_xlpm.テスト内容数),
_xlpm.詳細項目数&amp;"-"&amp;_xlpm.観点数&amp;"-"&amp;_xlpm.テスト内容数（テスト内容が空の場合は1）
)</f>
        <v/>
      </c>
      <c r="B36" s="48" t="n"/>
      <c r="C36" s="53" t="inlineStr">
        <is>
          <t>相関バリデーション</t>
        </is>
      </c>
      <c r="D36" s="53" t="inlineStr">
        <is>
          <t>-</t>
        </is>
      </c>
      <c r="E36" s="40" t="inlineStr">
        <is>
          <t>-</t>
        </is>
      </c>
      <c r="F36" s="99" t="inlineStr">
        <is>
          <t>特定の条件により必須・任意が変わる項目について、該当項目が必須となっている状態で、値が未入力の場合、エラーとなること。</t>
        </is>
      </c>
      <c r="G36" s="99" t="n"/>
      <c r="H36" s="99" t="n"/>
      <c r="I36" s="99" t="n"/>
      <c r="J36" s="107" t="n"/>
      <c r="K36" s="55" t="n"/>
      <c r="L36" s="44" t="n"/>
      <c r="M36" s="82" t="n"/>
      <c r="N36" s="82" t="n"/>
      <c r="O36" s="82" t="n"/>
      <c r="P36" s="82" t="n"/>
      <c r="Q36" s="82" t="n"/>
    </row>
    <row r="37" ht="33" customHeight="1">
      <c r="A37" s="38">
        <f t="array" ref="A37">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_xlpm.テスト内容数（テスト内容が空の場合は1）, IF(_xlpm.テスト内容数=0,1,_xlpm.テスト内容数),
_xlpm.詳細項目数&amp;"-"&amp;_xlpm.観点数&amp;"-"&amp;_xlpm.テスト内容数（テスト内容が空の場合は1）
)</f>
        <v/>
      </c>
      <c r="B37" s="48" t="n"/>
      <c r="C37" s="48" t="n"/>
      <c r="D37" s="52" t="n"/>
      <c r="E37" s="41" t="n"/>
      <c r="F37" s="99" t="inlineStr">
        <is>
          <t>特定の条件により必須・任意が変わる項目について、該当項目が任意となっている状態で、値が未入力の場合、エラーとならないこと。</t>
        </is>
      </c>
      <c r="G37" s="99" t="n"/>
      <c r="H37" s="99" t="n"/>
      <c r="I37" s="99" t="n"/>
      <c r="J37" s="107" t="n"/>
      <c r="K37" s="55" t="n"/>
      <c r="L37" s="44" t="n"/>
      <c r="M37" s="82" t="n"/>
      <c r="N37" s="82" t="n"/>
      <c r="O37" s="82" t="n"/>
      <c r="P37" s="82" t="n"/>
      <c r="Q37" s="82" t="n"/>
    </row>
    <row r="38" ht="22" customHeight="1">
      <c r="A38" s="38">
        <f t="array" ref="A38">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_xlpm.テスト内容数（テスト内容が空の場合は1）, IF(_xlpm.テスト内容数=0,1,_xlpm.テスト内容数),
_xlpm.詳細項目数&amp;"-"&amp;_xlpm.観点数&amp;"-"&amp;_xlpm.テスト内容数（テスト内容が空の場合は1）
)</f>
        <v/>
      </c>
      <c r="B38" s="48" t="n"/>
      <c r="C38" s="48" t="n"/>
      <c r="D38" s="52" t="n"/>
      <c r="E38" s="41" t="n"/>
      <c r="F38" s="40" t="inlineStr">
        <is>
          <t>相関バリデーション対象項目について、有効な値の組み合わせが各項目に入力された場合、エラーとならないこと。</t>
        </is>
      </c>
      <c r="G38" s="99" t="n"/>
      <c r="H38" s="99" t="n"/>
      <c r="I38" s="107" t="n"/>
      <c r="J38" s="107" t="n"/>
      <c r="K38" s="107" t="n"/>
      <c r="L38" s="44" t="n"/>
      <c r="M38" s="82" t="n"/>
      <c r="N38" s="46" t="n"/>
      <c r="O38" s="82" t="n"/>
      <c r="P38" s="82" t="n"/>
      <c r="Q38" s="82" t="n"/>
    </row>
    <row r="39" ht="22" customFormat="1" customHeight="1" s="88">
      <c r="A39" s="38">
        <f t="array" ref="A39">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_xlpm.テスト内容数（テスト内容が空の場合は1）, IF(_xlpm.テスト内容数=0,1,_xlpm.テスト内容数),
_xlpm.詳細項目数&amp;"-"&amp;_xlpm.観点数&amp;"-"&amp;_xlpm.テスト内容数（テスト内容が空の場合は1）
)</f>
        <v/>
      </c>
      <c r="B39" s="48" t="n"/>
      <c r="C39" s="48" t="n"/>
      <c r="D39" s="49" t="n"/>
      <c r="E39" s="50" t="n"/>
      <c r="F39" s="56" t="inlineStr">
        <is>
          <t>相関バリデーション対象項目について、無効な値の組み合わせが各項目に入力された場合、エラーとなること。</t>
        </is>
      </c>
      <c r="G39" s="99" t="n"/>
      <c r="H39" s="99" t="n"/>
      <c r="I39" s="107" t="n"/>
      <c r="J39" s="107" t="n"/>
      <c r="K39" s="107" t="n"/>
      <c r="L39" s="44" t="n"/>
      <c r="M39" s="283" t="n"/>
      <c r="N39" s="46" t="n"/>
      <c r="O39" s="46" t="n"/>
      <c r="P39" s="283" t="n"/>
      <c r="Q39" s="82" t="n"/>
    </row>
    <row r="40" ht="33" customFormat="1" customHeight="1" s="88">
      <c r="A40" s="38">
        <f t="array" ref="A40">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_xlpm.テスト内容数（テスト内容が空の場合は1）, IF(_xlpm.テスト内容数=0,1,_xlpm.テスト内容数),
_xlpm.詳細項目数&amp;"-"&amp;_xlpm.観点数&amp;"-"&amp;_xlpm.テスト内容数（テスト内容が空の場合は1）
)</f>
        <v/>
      </c>
      <c r="B40" s="48" t="n"/>
      <c r="C40" s="48" t="n"/>
      <c r="D40" s="52" t="inlineStr">
        <is>
          <t>DBとの相関バリデーション</t>
        </is>
      </c>
      <c r="E40" s="41" t="inlineStr">
        <is>
          <t>-</t>
        </is>
      </c>
      <c r="F40" s="99" t="inlineStr">
        <is>
          <t>有効なレコードが存在する場合、エラーとならないこと。</t>
        </is>
      </c>
      <c r="G40" s="99" t="n"/>
      <c r="H40" s="99" t="n"/>
      <c r="I40" s="99" t="n"/>
      <c r="J40" s="107" t="n"/>
      <c r="K40" s="105" t="n"/>
      <c r="L40" s="44" t="n"/>
      <c r="M40" s="283" t="n"/>
      <c r="N40" s="82" t="n"/>
      <c r="O40" s="46" t="n"/>
      <c r="P40" s="283" t="n"/>
      <c r="Q40" s="82" t="n"/>
    </row>
    <row r="41" customFormat="1" s="88">
      <c r="A41" s="38">
        <f t="array" ref="A4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_xlpm.テスト内容数（テスト内容が空の場合は1）, IF(_xlpm.テスト内容数=0,1,_xlpm.テスト内容数),
_xlpm.詳細項目数&amp;"-"&amp;_xlpm.観点数&amp;"-"&amp;_xlpm.テスト内容数（テスト内容が空の場合は1）
)</f>
        <v/>
      </c>
      <c r="B41" s="57" t="n"/>
      <c r="C41" s="57" t="n"/>
      <c r="D41" s="49" t="n"/>
      <c r="E41" s="50" t="n"/>
      <c r="F41" s="99" t="inlineStr">
        <is>
          <t>有効なレコードが存在しない場合、エラーとなること。</t>
        </is>
      </c>
      <c r="G41" s="99" t="n"/>
      <c r="H41" s="99" t="n"/>
      <c r="I41" s="99" t="n"/>
      <c r="J41" s="107" t="n"/>
      <c r="K41" s="105" t="n"/>
      <c r="L41" s="44" t="n"/>
      <c r="M41" s="283" t="n"/>
      <c r="N41" s="82" t="n"/>
      <c r="O41" s="46" t="n"/>
      <c r="P41" s="283" t="n"/>
      <c r="Q41" s="82" t="n"/>
    </row>
    <row r="42" ht="22" customFormat="1" customHeight="1" s="88">
      <c r="A42" s="38">
        <f t="array" ref="A42">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_xlpm.テスト内容数（テスト内容が空の場合は1）, IF(_xlpm.テスト内容数=0,1,_xlpm.テスト内容数),
_xlpm.詳細項目数&amp;"-"&amp;_xlpm.観点数&amp;"-"&amp;_xlpm.テスト内容数（テスト内容が空の場合は1）
)</f>
        <v/>
      </c>
      <c r="B42" s="58" t="inlineStr">
        <is>
          <t>DB操作</t>
        </is>
      </c>
      <c r="C42" s="59" t="inlineStr">
        <is>
          <t>共通</t>
        </is>
      </c>
      <c r="D42" s="59" t="inlineStr">
        <is>
          <t>検索/更新/削除条件</t>
        </is>
      </c>
      <c r="E42" s="59" t="inlineStr">
        <is>
          <t>単一条件</t>
        </is>
      </c>
      <c r="F42" s="99" t="inlineStr">
        <is>
          <t>有効な値が条件に指定された場合、期待したレコードが取得、更新、削除されること。</t>
        </is>
      </c>
      <c r="G42" s="60" t="n"/>
      <c r="H42" s="99" t="n"/>
      <c r="I42" s="99" t="n"/>
      <c r="J42" s="60" t="n"/>
      <c r="K42" s="105" t="n"/>
      <c r="L42" s="44" t="n"/>
      <c r="M42" s="82" t="n"/>
      <c r="N42" s="46" t="n"/>
      <c r="O42" s="82" t="n"/>
      <c r="P42" s="283" t="n"/>
      <c r="Q42" s="82" t="n"/>
    </row>
    <row r="43" ht="22" customFormat="1" customHeight="1" s="88">
      <c r="A43" s="38">
        <f t="array" ref="A43">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_xlpm.テスト内容数（テスト内容が空の場合は1）, IF(_xlpm.テスト内容数=0,1,_xlpm.テスト内容数),
_xlpm.詳細項目数&amp;"-"&amp;_xlpm.観点数&amp;"-"&amp;_xlpm.テスト内容数（テスト内容が空の場合は1）
)</f>
        <v/>
      </c>
      <c r="B43" s="48" t="n"/>
      <c r="C43" s="54" t="n"/>
      <c r="D43" s="41" t="n"/>
      <c r="E43" s="41" t="n"/>
      <c r="F43" s="40" t="inlineStr">
        <is>
          <t>無効な値が条件に指定された場合、レコードが取得、更新、削除されないこと。</t>
        </is>
      </c>
      <c r="G43" s="60" t="n"/>
      <c r="H43" s="99" t="n"/>
      <c r="I43" s="99" t="n"/>
      <c r="J43" s="60" t="n"/>
      <c r="K43" s="105" t="n"/>
      <c r="L43" s="44" t="n"/>
      <c r="M43" s="82" t="n"/>
      <c r="N43" s="46" t="n"/>
      <c r="O43" s="82" t="n"/>
      <c r="P43" s="283" t="n"/>
      <c r="Q43" s="82" t="n"/>
    </row>
    <row r="44" ht="33" customFormat="1" customHeight="1" s="88">
      <c r="A44" s="38">
        <f t="array" ref="A44">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_xlpm.テスト内容数（テスト内容が空の場合は1）, IF(_xlpm.テスト内容数=0,1,_xlpm.テスト内容数),
_xlpm.詳細項目数&amp;"-"&amp;_xlpm.観点数&amp;"-"&amp;_xlpm.テスト内容数（テスト内容が空の場合は1）
)</f>
        <v/>
      </c>
      <c r="B44" s="48" t="n"/>
      <c r="C44" s="54" t="n"/>
      <c r="D44" s="41" t="n"/>
      <c r="E44" s="50" t="n"/>
      <c r="F44" s="99" t="inlineStr">
        <is>
          <t>値が条件に指定されなかった場合、［システム機能設計書/共通コンポーネント設計書の記載通りの挙動］となること。</t>
        </is>
      </c>
      <c r="G44" s="60" t="n"/>
      <c r="H44" s="99" t="n"/>
      <c r="I44" s="99" t="n"/>
      <c r="J44" s="60" t="n"/>
      <c r="K44" s="105" t="n"/>
      <c r="L44" s="44" t="n"/>
      <c r="M44" s="283" t="n"/>
      <c r="N44" s="82" t="n"/>
      <c r="O44" s="46" t="n"/>
      <c r="P44" s="283" t="n"/>
      <c r="Q44" s="82" t="n"/>
    </row>
    <row r="45" ht="22" customFormat="1" customHeight="1" s="88">
      <c r="A45" s="38">
        <f t="array" ref="A45">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_xlpm.テスト内容数（テスト内容が空の場合は1）, IF(_xlpm.テスト内容数=0,1,_xlpm.テスト内容数),
_xlpm.詳細項目数&amp;"-"&amp;_xlpm.観点数&amp;"-"&amp;_xlpm.テスト内容数（テスト内容が空の場合は1）
)</f>
        <v/>
      </c>
      <c r="B45" s="48" t="n"/>
      <c r="C45" s="54" t="n"/>
      <c r="D45" s="41" t="n"/>
      <c r="E45" s="41" t="inlineStr">
        <is>
          <t>複数条件</t>
        </is>
      </c>
      <c r="F45" s="99" t="inlineStr">
        <is>
          <t>有効な値の組み合わせが条件に指定された場合、期待したレコードが取得、更新、削除されること。</t>
        </is>
      </c>
      <c r="G45" s="60" t="n"/>
      <c r="H45" s="99" t="n"/>
      <c r="I45" s="99" t="n"/>
      <c r="J45" s="60" t="n"/>
      <c r="K45" s="105" t="n"/>
      <c r="L45" s="44" t="n"/>
      <c r="M45" s="283" t="n"/>
      <c r="N45" s="82" t="n"/>
      <c r="O45" s="46" t="n"/>
      <c r="P45" s="283" t="n"/>
      <c r="Q45" s="82" t="n"/>
    </row>
    <row r="46" ht="22" customFormat="1" customHeight="1" s="88">
      <c r="A46" s="38">
        <f t="array" ref="A46">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_xlpm.テスト内容数（テスト内容が空の場合は1）, IF(_xlpm.テスト内容数=0,1,_xlpm.テスト内容数),
_xlpm.詳細項目数&amp;"-"&amp;_xlpm.観点数&amp;"-"&amp;_xlpm.テスト内容数（テスト内容が空の場合は1）
)</f>
        <v/>
      </c>
      <c r="B46" s="48" t="n"/>
      <c r="C46" s="54" t="n"/>
      <c r="D46" s="41" t="n"/>
      <c r="E46" s="41" t="n"/>
      <c r="F46" s="99" t="inlineStr">
        <is>
          <t>無効な値の組み合わせが条件に指定された場合、レコードが取得、更新、削除されないこと。</t>
        </is>
      </c>
      <c r="G46" s="60" t="n"/>
      <c r="H46" s="99" t="n"/>
      <c r="I46" s="99" t="n"/>
      <c r="J46" s="60" t="n"/>
      <c r="K46" s="105" t="n"/>
      <c r="L46" s="44" t="n"/>
      <c r="M46" s="283" t="n"/>
      <c r="N46" s="82" t="n"/>
      <c r="O46" s="46" t="n"/>
      <c r="P46" s="283" t="n"/>
      <c r="Q46" s="82" t="n"/>
    </row>
    <row r="47" ht="33" customFormat="1" customHeight="1" s="88">
      <c r="A47" s="38">
        <f t="array" ref="A47">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_xlpm.テスト内容数（テスト内容が空の場合は1）, IF(_xlpm.テスト内容数=0,1,_xlpm.テスト内容数),
_xlpm.詳細項目数&amp;"-"&amp;_xlpm.観点数&amp;"-"&amp;_xlpm.テスト内容数（テスト内容が空の場合は1）
)</f>
        <v/>
      </c>
      <c r="B47" s="48" t="n"/>
      <c r="C47" s="54" t="n"/>
      <c r="D47" s="41" t="n"/>
      <c r="E47" s="50" t="n"/>
      <c r="F47" s="99" t="inlineStr">
        <is>
          <t>値が条件に指定されなかった場合、［システム機能設計書/共通コンポーネント設計書の記載通りの挙動］となること。</t>
        </is>
      </c>
      <c r="G47" s="60" t="n"/>
      <c r="H47" s="99" t="n"/>
      <c r="I47" s="99" t="n"/>
      <c r="J47" s="60" t="n"/>
      <c r="K47" s="105" t="n"/>
      <c r="L47" s="44" t="n"/>
      <c r="M47" s="283" t="n"/>
      <c r="N47" s="82" t="n"/>
      <c r="O47" s="46" t="n"/>
      <c r="P47" s="283" t="n"/>
      <c r="Q47" s="82" t="n"/>
    </row>
    <row r="48" ht="22" customFormat="1" customHeight="1" s="88">
      <c r="A48" s="38">
        <f t="array" ref="A48">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_xlpm.テスト内容数（テスト内容が空の場合は1）, IF(_xlpm.テスト内容数=0,1,_xlpm.テスト内容数),
_xlpm.詳細項目数&amp;"-"&amp;_xlpm.観点数&amp;"-"&amp;_xlpm.テスト内容数（テスト内容が空の場合は1）
)</f>
        <v/>
      </c>
      <c r="B48" s="48" t="n"/>
      <c r="C48" s="54" t="n"/>
      <c r="D48" s="41" t="n"/>
      <c r="E48" s="41" t="inlineStr">
        <is>
          <t>完全一致</t>
        </is>
      </c>
      <c r="F48" s="40" t="inlineStr">
        <is>
          <t>完全一致する値が指定された場合、期待したレコードが取得、更新、削除されること。</t>
        </is>
      </c>
      <c r="G48" s="60" t="n"/>
      <c r="H48" s="99" t="n"/>
      <c r="I48" s="99" t="n"/>
      <c r="J48" s="60" t="n"/>
      <c r="K48" s="105" t="n"/>
      <c r="L48" s="44" t="n"/>
      <c r="M48" s="82" t="n"/>
      <c r="N48" s="46" t="n"/>
      <c r="O48" s="82" t="n"/>
      <c r="P48" s="283" t="n"/>
      <c r="Q48" s="82" t="n"/>
    </row>
    <row r="49" ht="22" customFormat="1" customHeight="1" s="88">
      <c r="A49" s="38">
        <f t="array" ref="A49">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_xlpm.テスト内容数（テスト内容が空の場合は1）, IF(_xlpm.テスト内容数=0,1,_xlpm.テスト内容数),
_xlpm.詳細項目数&amp;"-"&amp;_xlpm.観点数&amp;"-"&amp;_xlpm.テスト内容数（テスト内容が空の場合は1）
)</f>
        <v/>
      </c>
      <c r="B49" s="48" t="n"/>
      <c r="C49" s="54" t="n"/>
      <c r="D49" s="41" t="n"/>
      <c r="E49" s="41" t="n"/>
      <c r="F49" s="40" t="inlineStr">
        <is>
          <t>完全一致しない値が指定された場合、レコードが取得、更新、削除されないこと。</t>
        </is>
      </c>
      <c r="G49" s="60" t="n"/>
      <c r="H49" s="99" t="n"/>
      <c r="I49" s="99" t="n"/>
      <c r="J49" s="60" t="n"/>
      <c r="K49" s="105" t="n"/>
      <c r="L49" s="44" t="n"/>
      <c r="M49" s="82" t="n"/>
      <c r="N49" s="46" t="n"/>
      <c r="O49" s="82" t="n"/>
      <c r="P49" s="283" t="n"/>
      <c r="Q49" s="82" t="n"/>
    </row>
    <row r="50" ht="22" customFormat="1" customHeight="1" s="88">
      <c r="A50" s="38">
        <f t="array" ref="A50">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_xlpm.テスト内容数（テスト内容が空の場合は1）, IF(_xlpm.テスト内容数=0,1,_xlpm.テスト内容数),
_xlpm.詳細項目数&amp;"-"&amp;_xlpm.観点数&amp;"-"&amp;_xlpm.テスト内容数（テスト内容が空の場合は1）
)</f>
        <v/>
      </c>
      <c r="B50" s="48" t="n"/>
      <c r="C50" s="54" t="n"/>
      <c r="D50" s="41" t="n"/>
      <c r="E50" s="40" t="inlineStr">
        <is>
          <t>部分一致</t>
        </is>
      </c>
      <c r="F50" s="99" t="inlineStr">
        <is>
          <t>前方一致する値が指定された場合、期待したレコードが取得、更新、削除されること。</t>
        </is>
      </c>
      <c r="G50" s="60" t="n"/>
      <c r="H50" s="99" t="n"/>
      <c r="I50" s="99" t="n"/>
      <c r="J50" s="60" t="n"/>
      <c r="K50" s="105" t="n"/>
      <c r="L50" s="44" t="n"/>
      <c r="M50" s="283" t="n"/>
      <c r="N50" s="82" t="n"/>
      <c r="O50" s="46" t="n"/>
      <c r="P50" s="283" t="n"/>
      <c r="Q50" s="82" t="n"/>
    </row>
    <row r="51" ht="22" customFormat="1" customHeight="1" s="88">
      <c r="A51" s="38">
        <f t="array" ref="A5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_xlpm.テスト内容数（テスト内容が空の場合は1）, IF(_xlpm.テスト内容数=0,1,_xlpm.テスト内容数),
_xlpm.詳細項目数&amp;"-"&amp;_xlpm.観点数&amp;"-"&amp;_xlpm.テスト内容数（テスト内容が空の場合は1）
)</f>
        <v/>
      </c>
      <c r="B51" s="48" t="n"/>
      <c r="C51" s="54" t="n"/>
      <c r="D51" s="41" t="n"/>
      <c r="E51" s="41" t="n"/>
      <c r="F51" s="99" t="inlineStr">
        <is>
          <t>前方一致しない値が指定された場合、レコードが取得、更新、削除されないこと。</t>
        </is>
      </c>
      <c r="G51" s="60" t="n"/>
      <c r="H51" s="99" t="n"/>
      <c r="I51" s="99" t="n"/>
      <c r="J51" s="60" t="n"/>
      <c r="K51" s="105" t="n"/>
      <c r="L51" s="44" t="n"/>
      <c r="M51" s="283" t="n"/>
      <c r="N51" s="82" t="n"/>
      <c r="O51" s="46" t="n"/>
      <c r="P51" s="283" t="n"/>
      <c r="Q51" s="82" t="n"/>
    </row>
    <row r="52" ht="22" customFormat="1" customHeight="1" s="88">
      <c r="A52" s="38">
        <f t="array" ref="A52">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_xlpm.テスト内容数（テスト内容が空の場合は1）, IF(_xlpm.テスト内容数=0,1,_xlpm.テスト内容数),
_xlpm.詳細項目数&amp;"-"&amp;_xlpm.観点数&amp;"-"&amp;_xlpm.テスト内容数（テスト内容が空の場合は1）
)</f>
        <v/>
      </c>
      <c r="B52" s="48" t="n"/>
      <c r="C52" s="54" t="n"/>
      <c r="D52" s="41" t="n"/>
      <c r="E52" s="41" t="n"/>
      <c r="F52" s="99" t="inlineStr">
        <is>
          <t>後方一致する値が指定された場合、期待したレコードが取得、更新、削除されること。</t>
        </is>
      </c>
      <c r="G52" s="60" t="n"/>
      <c r="H52" s="99" t="n"/>
      <c r="I52" s="99" t="n"/>
      <c r="J52" s="60" t="n"/>
      <c r="K52" s="105" t="n"/>
      <c r="L52" s="44" t="n"/>
      <c r="M52" s="283" t="n"/>
      <c r="N52" s="82" t="n"/>
      <c r="O52" s="46" t="n"/>
      <c r="P52" s="283" t="n"/>
      <c r="Q52" s="82" t="n"/>
    </row>
    <row r="53" ht="22" customFormat="1" customHeight="1" s="88">
      <c r="A53" s="38">
        <f t="array" ref="A53">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_xlpm.テスト内容数（テスト内容が空の場合は1）, IF(_xlpm.テスト内容数=0,1,_xlpm.テスト内容数),
_xlpm.詳細項目数&amp;"-"&amp;_xlpm.観点数&amp;"-"&amp;_xlpm.テスト内容数（テスト内容が空の場合は1）
)</f>
        <v/>
      </c>
      <c r="B53" s="48" t="n"/>
      <c r="C53" s="54" t="n"/>
      <c r="D53" s="41" t="n"/>
      <c r="E53" s="41" t="n"/>
      <c r="F53" s="99" t="inlineStr">
        <is>
          <t>後方一致しない値が指定された場合、レコードが取得、更新、削除されないこと。</t>
        </is>
      </c>
      <c r="G53" s="60" t="n"/>
      <c r="H53" s="99" t="n"/>
      <c r="I53" s="99" t="n"/>
      <c r="J53" s="60" t="n"/>
      <c r="K53" s="105" t="n"/>
      <c r="L53" s="44" t="n"/>
      <c r="M53" s="283" t="n"/>
      <c r="N53" s="82" t="n"/>
      <c r="O53" s="46" t="n"/>
      <c r="P53" s="283" t="n"/>
      <c r="Q53" s="82" t="n"/>
    </row>
    <row r="54" ht="22" customFormat="1" customHeight="1" s="88">
      <c r="A54" s="38">
        <f t="array" ref="A54">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_xlpm.テスト内容数（テスト内容が空の場合は1）, IF(_xlpm.テスト内容数=0,1,_xlpm.テスト内容数),
_xlpm.詳細項目数&amp;"-"&amp;_xlpm.観点数&amp;"-"&amp;_xlpm.テスト内容数（テスト内容が空の場合は1）
)</f>
        <v/>
      </c>
      <c r="B54" s="48" t="n"/>
      <c r="C54" s="54" t="n"/>
      <c r="D54" s="41" t="n"/>
      <c r="E54" s="41" t="n"/>
      <c r="F54" s="99" t="inlineStr">
        <is>
          <t>中間一致する値が指定された場合、期待したレコードが取得、更新、削除されること。</t>
        </is>
      </c>
      <c r="G54" s="60" t="n"/>
      <c r="H54" s="99" t="n"/>
      <c r="I54" s="99" t="n"/>
      <c r="J54" s="60" t="n"/>
      <c r="K54" s="105" t="n"/>
      <c r="L54" s="44" t="n"/>
      <c r="M54" s="283" t="n"/>
      <c r="N54" s="82" t="n"/>
      <c r="O54" s="46" t="n"/>
      <c r="P54" s="283" t="n"/>
      <c r="Q54" s="82" t="n"/>
    </row>
    <row r="55" ht="22" customFormat="1" customHeight="1" s="88">
      <c r="A55" s="38">
        <f t="array" ref="A55">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_xlpm.テスト内容数（テスト内容が空の場合は1）, IF(_xlpm.テスト内容数=0,1,_xlpm.テスト内容数),
_xlpm.詳細項目数&amp;"-"&amp;_xlpm.観点数&amp;"-"&amp;_xlpm.テスト内容数（テスト内容が空の場合は1）
)</f>
        <v/>
      </c>
      <c r="B55" s="48" t="n"/>
      <c r="C55" s="54" t="n"/>
      <c r="D55" s="41" t="n"/>
      <c r="E55" s="50" t="n"/>
      <c r="F55" s="99" t="inlineStr">
        <is>
          <t>中間一致しない値が指定された場合、レコードが取得、更新、削除されないこと。</t>
        </is>
      </c>
      <c r="G55" s="60" t="n"/>
      <c r="H55" s="99" t="n"/>
      <c r="I55" s="99" t="n"/>
      <c r="J55" s="60" t="n"/>
      <c r="K55" s="105" t="n"/>
      <c r="L55" s="44" t="n"/>
      <c r="M55" s="283" t="n"/>
      <c r="N55" s="82" t="n"/>
      <c r="O55" s="46" t="n"/>
      <c r="P55" s="283" t="n"/>
      <c r="Q55" s="82" t="n"/>
    </row>
    <row r="56" ht="33" customFormat="1" customHeight="1" s="88">
      <c r="A56" s="38">
        <f t="array" ref="A56">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_xlpm.テスト内容数（テスト内容が空の場合は1）, IF(_xlpm.テスト内容数=0,1,_xlpm.テスト内容数),
_xlpm.詳細項目数&amp;"-"&amp;_xlpm.観点数&amp;"-"&amp;_xlpm.テスト内容数（テスト内容が空の場合は1）
)</f>
        <v/>
      </c>
      <c r="B56" s="48" t="n"/>
      <c r="C56" s="54" t="n"/>
      <c r="D56" s="41" t="n"/>
      <c r="E56" s="50" t="inlineStr">
        <is>
          <t>抽出範囲</t>
        </is>
      </c>
      <c r="F56" s="99" t="inlineStr">
        <is>
          <t>月、年度の切り替えにより抽出対象が変わる場合、取得、更新、削除されたレコードが［システム機能設計書/共通コンポーネント設計書の記載通り］であること。</t>
        </is>
      </c>
      <c r="G56" s="60" t="n"/>
      <c r="H56" s="99" t="n"/>
      <c r="I56" s="99" t="n"/>
      <c r="J56" s="60" t="n"/>
      <c r="K56" s="105" t="n"/>
      <c r="L56" s="44" t="n"/>
      <c r="M56" s="283" t="n"/>
      <c r="N56" s="82" t="n"/>
      <c r="O56" s="46" t="n"/>
      <c r="P56" s="283" t="n"/>
      <c r="Q56" s="82" t="n"/>
    </row>
    <row r="57" ht="22" customFormat="1" customHeight="1" s="88">
      <c r="A57" s="38">
        <f t="array" ref="A57">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_xlpm.テスト内容数（テスト内容が空の場合は1）, IF(_xlpm.テスト内容数=0,1,_xlpm.テスト内容数),
_xlpm.詳細項目数&amp;"-"&amp;_xlpm.観点数&amp;"-"&amp;_xlpm.テスト内容数（テスト内容が空の場合は1）
)</f>
        <v/>
      </c>
      <c r="B57" s="48" t="n"/>
      <c r="C57" s="54" t="n"/>
      <c r="D57" s="41" t="n"/>
      <c r="E57" s="50" t="inlineStr">
        <is>
          <t>エスケープ</t>
        </is>
      </c>
      <c r="F57" s="99" t="inlineStr">
        <is>
          <t>条件にワイルドカード文字が指定された場合、該当の文字が含まれるレコードが取得、更新、削除されること。</t>
        </is>
      </c>
      <c r="G57" s="60" t="n"/>
      <c r="H57" s="99" t="n"/>
      <c r="I57" s="99" t="n"/>
      <c r="J57" s="60" t="n"/>
      <c r="K57" s="105" t="n"/>
      <c r="L57" s="44" t="n"/>
      <c r="M57" s="283" t="n"/>
      <c r="N57" s="82" t="n"/>
      <c r="O57" s="46" t="n"/>
      <c r="P57" s="283" t="n"/>
      <c r="Q57" s="82" t="n"/>
    </row>
    <row r="58" ht="22" customFormat="1" customHeight="1" s="88">
      <c r="A58" s="38">
        <f t="array" ref="A58">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_xlpm.テスト内容数（テスト内容が空の場合は1）, IF(_xlpm.テスト内容数=0,1,_xlpm.テスト内容数),
_xlpm.詳細項目数&amp;"-"&amp;_xlpm.観点数&amp;"-"&amp;_xlpm.テスト内容数（テスト内容が空の場合は1）
)</f>
        <v/>
      </c>
      <c r="B58" s="48" t="n"/>
      <c r="C58" s="54" t="n"/>
      <c r="D58" s="50" t="n"/>
      <c r="E58" s="50" t="inlineStr">
        <is>
          <t>件数上限</t>
        </is>
      </c>
      <c r="F58" s="99" t="inlineStr">
        <is>
          <t>処理件数に上限がある場合、上限の件数以上のレコードが取得、更新、削除されないこと。</t>
        </is>
      </c>
      <c r="G58" s="60" t="n"/>
      <c r="H58" s="99" t="n"/>
      <c r="I58" s="99" t="n"/>
      <c r="J58" s="60" t="n"/>
      <c r="K58" s="105" t="n"/>
      <c r="L58" s="44" t="n"/>
      <c r="M58" s="283" t="n"/>
      <c r="N58" s="82" t="n"/>
      <c r="O58" s="46" t="n"/>
      <c r="P58" s="283" t="n"/>
      <c r="Q58" s="82" t="n"/>
    </row>
    <row r="59" ht="22" customFormat="1" customHeight="1" s="88">
      <c r="A59" s="38">
        <f t="array" ref="A59">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_xlpm.テスト内容数（テスト内容が空の場合は1）, IF(_xlpm.テスト内容数=0,1,_xlpm.テスト内容数),
_xlpm.詳細項目数&amp;"-"&amp;_xlpm.観点数&amp;"-"&amp;_xlpm.テスト内容数（テスト内容が空の場合は1）
)</f>
        <v/>
      </c>
      <c r="B59" s="48" t="n"/>
      <c r="C59" s="54" t="n"/>
      <c r="D59" s="41" t="inlineStr">
        <is>
          <t>登録/更新内容</t>
        </is>
      </c>
      <c r="E59" s="41" t="inlineStr">
        <is>
          <t>-</t>
        </is>
      </c>
      <c r="F59" s="99" t="inlineStr">
        <is>
          <t>全項目に値が指定された場合、レコードが登録されること。</t>
        </is>
      </c>
      <c r="G59" s="60" t="n"/>
      <c r="H59" s="99" t="n"/>
      <c r="I59" s="99" t="n"/>
      <c r="J59" s="60" t="n"/>
      <c r="K59" s="105" t="n"/>
      <c r="L59" s="44" t="n"/>
      <c r="M59" s="283" t="n"/>
      <c r="N59" s="82" t="n"/>
      <c r="O59" s="46" t="n"/>
      <c r="P59" s="283" t="n"/>
      <c r="Q59" s="82" t="n"/>
    </row>
    <row r="60" ht="22" customFormat="1" customHeight="1" s="88">
      <c r="A60" s="38">
        <f t="array" ref="A60">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_xlpm.テスト内容数（テスト内容が空の場合は1）, IF(_xlpm.テスト内容数=0,1,_xlpm.テスト内容数),
_xlpm.詳細項目数&amp;"-"&amp;_xlpm.観点数&amp;"-"&amp;_xlpm.テスト内容数（テスト内容が空の場合は1）
)</f>
        <v/>
      </c>
      <c r="B60" s="48" t="n"/>
      <c r="C60" s="48" t="n"/>
      <c r="D60" s="41" t="n"/>
      <c r="E60" s="41" t="n"/>
      <c r="F60" s="40" t="inlineStr">
        <is>
          <t>更新対象の項目すべてに値が指定された場合、レコードが更新されること。</t>
        </is>
      </c>
      <c r="G60" s="60" t="n"/>
      <c r="H60" s="99" t="n"/>
      <c r="I60" s="99" t="n"/>
      <c r="J60" s="60" t="n"/>
      <c r="K60" s="105" t="n"/>
      <c r="L60" s="44" t="n"/>
      <c r="M60" s="283" t="n"/>
      <c r="N60" s="82" t="n"/>
      <c r="O60" s="46" t="n"/>
      <c r="P60" s="283" t="n"/>
      <c r="Q60" s="82" t="n"/>
    </row>
    <row r="61" ht="22" customFormat="1" customHeight="1" s="88">
      <c r="A61" s="38">
        <f t="array" ref="A6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_xlpm.テスト内容数（テスト内容が空の場合は1）, IF(_xlpm.テスト内容数=0,1,_xlpm.テスト内容数),
_xlpm.詳細項目数&amp;"-"&amp;_xlpm.観点数&amp;"-"&amp;_xlpm.テスト内容数（テスト内容が空の場合は1）
)</f>
        <v/>
      </c>
      <c r="B61" s="48" t="n"/>
      <c r="C61" s="48" t="n"/>
      <c r="D61" s="41" t="n"/>
      <c r="E61" s="41" t="n"/>
      <c r="F61" s="99" t="inlineStr">
        <is>
          <t>必須項目に値が指定されていない場合、レコードが登録されないこと。</t>
        </is>
      </c>
      <c r="G61" s="60" t="n"/>
      <c r="H61" s="99" t="n"/>
      <c r="I61" s="99" t="n"/>
      <c r="J61" s="60" t="n"/>
      <c r="K61" s="105" t="n"/>
      <c r="L61" s="44" t="n"/>
      <c r="M61" s="283" t="n"/>
      <c r="N61" s="82" t="n"/>
      <c r="O61" s="46" t="n"/>
      <c r="P61" s="283" t="n"/>
      <c r="Q61" s="82" t="n"/>
    </row>
    <row r="62" ht="22" customFormat="1" customHeight="1" s="88">
      <c r="A62" s="38">
        <f t="array" ref="A62">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_xlpm.テスト内容数（テスト内容が空の場合は1）, IF(_xlpm.テスト内容数=0,1,_xlpm.テスト内容数),
_xlpm.詳細項目数&amp;"-"&amp;_xlpm.観点数&amp;"-"&amp;_xlpm.テスト内容数（テスト内容が空の場合は1）
)</f>
        <v/>
      </c>
      <c r="B62" s="48" t="n"/>
      <c r="C62" s="48" t="n"/>
      <c r="D62" s="41" t="n"/>
      <c r="E62" s="41" t="n"/>
      <c r="F62" s="99" t="inlineStr">
        <is>
          <t>更新対象の必須項目に値が指定されていない場合、レコードが更新されないこと。</t>
        </is>
      </c>
      <c r="G62" s="60" t="n"/>
      <c r="H62" s="99" t="n"/>
      <c r="I62" s="99" t="n"/>
      <c r="J62" s="60" t="n"/>
      <c r="K62" s="105" t="n"/>
      <c r="L62" s="44" t="n"/>
      <c r="M62" s="283" t="n"/>
      <c r="N62" s="82" t="n"/>
      <c r="O62" s="46" t="n"/>
      <c r="P62" s="283" t="n"/>
      <c r="Q62" s="82" t="n"/>
    </row>
    <row r="63" ht="22" customFormat="1" customHeight="1" s="88">
      <c r="A63" s="38">
        <f t="array" ref="A63">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_xlpm.テスト内容数（テスト内容が空の場合は1）, IF(_xlpm.テスト内容数=0,1,_xlpm.テスト内容数),
_xlpm.詳細項目数&amp;"-"&amp;_xlpm.観点数&amp;"-"&amp;_xlpm.テスト内容数（テスト内容が空の場合は1）
)</f>
        <v/>
      </c>
      <c r="B63" s="48" t="n"/>
      <c r="C63" s="48" t="n"/>
      <c r="D63" s="41" t="n"/>
      <c r="E63" s="50" t="n"/>
      <c r="F63" s="99" t="inlineStr">
        <is>
          <t>必須項目は値あり、任意項目は値なしの場合、レコードが登録、更新されること。</t>
        </is>
      </c>
      <c r="G63" s="60" t="n"/>
      <c r="H63" s="99" t="n"/>
      <c r="I63" s="99" t="n"/>
      <c r="J63" s="60" t="n"/>
      <c r="K63" s="105" t="n"/>
      <c r="L63" s="44" t="n"/>
      <c r="M63" s="283" t="n"/>
      <c r="N63" s="82" t="n"/>
      <c r="O63" s="46" t="n"/>
      <c r="P63" s="283" t="n"/>
      <c r="Q63" s="82" t="n"/>
    </row>
    <row r="64" ht="33" customFormat="1" customHeight="1" s="88">
      <c r="A64" s="38">
        <f t="array" ref="A64">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_xlpm.テスト内容数（テスト内容が空の場合は1）, IF(_xlpm.テスト内容数=0,1,_xlpm.テスト内容数),
_xlpm.詳細項目数&amp;"-"&amp;_xlpm.観点数&amp;"-"&amp;_xlpm.テスト内容数（テスト内容が空の場合は1）
)</f>
        <v/>
      </c>
      <c r="B64" s="48" t="n"/>
      <c r="C64" s="48" t="n"/>
      <c r="D64" s="41" t="n"/>
      <c r="E64" s="41" t="inlineStr">
        <is>
          <t>編集仕様</t>
        </is>
      </c>
      <c r="F64" s="99" t="inlineStr">
        <is>
          <t>取得した値を変換する設計となっている場合、登録、更新された値が［システム機能設計書/共通コンポーネント設計書の記載通り］であること。</t>
        </is>
      </c>
      <c r="G64" s="60" t="n"/>
      <c r="H64" s="99" t="n"/>
      <c r="I64" s="99" t="n"/>
      <c r="J64" s="60" t="n"/>
      <c r="K64" s="105" t="n"/>
      <c r="L64" s="44" t="n"/>
      <c r="M64" s="283" t="n"/>
      <c r="N64" s="82" t="n"/>
      <c r="O64" s="46" t="n"/>
      <c r="P64" s="283" t="n"/>
      <c r="Q64" s="82" t="n"/>
    </row>
    <row r="65" ht="33" customFormat="1" customHeight="1" s="88">
      <c r="A65" s="38">
        <f t="array" ref="A65">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_xlpm.テスト内容数（テスト内容が空の場合は1）, IF(_xlpm.テスト内容数=0,1,_xlpm.テスト内容数),
_xlpm.詳細項目数&amp;"-"&amp;_xlpm.観点数&amp;"-"&amp;_xlpm.テスト内容数（テスト内容が空の場合は1）
)</f>
        <v/>
      </c>
      <c r="B65" s="48" t="n"/>
      <c r="C65" s="48" t="n"/>
      <c r="D65" s="41" t="n"/>
      <c r="E65" s="41" t="n"/>
      <c r="F65" s="40" t="inlineStr">
        <is>
          <t>取得した値を編集する処理が分岐する設計となっている場合、登録、更新された値が［システム機能設計書/共通コンポーネント設計書の記載通り］であること。</t>
        </is>
      </c>
      <c r="G65" s="60" t="n"/>
      <c r="H65" s="99" t="n"/>
      <c r="I65" s="99" t="n"/>
      <c r="J65" s="60" t="n"/>
      <c r="K65" s="105" t="n"/>
      <c r="L65" s="44" t="n"/>
      <c r="M65" s="283" t="n"/>
      <c r="N65" s="82" t="n"/>
      <c r="O65" s="46" t="n"/>
      <c r="P65" s="283" t="n"/>
      <c r="Q65" s="82" t="n"/>
    </row>
    <row r="66" ht="33" customFormat="1" customHeight="1" s="88">
      <c r="A66" s="38">
        <f t="array" ref="A66">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_xlpm.テスト内容数（テスト内容が空の場合は1）, IF(_xlpm.テスト内容数=0,1,_xlpm.テスト内容数),
_xlpm.詳細項目数&amp;"-"&amp;_xlpm.観点数&amp;"-"&amp;_xlpm.テスト内容数（テスト内容が空の場合は1）
)</f>
        <v/>
      </c>
      <c r="B66" s="48" t="n"/>
      <c r="C66" s="48" t="n"/>
      <c r="D66" s="41" t="n"/>
      <c r="E66" s="41" t="n"/>
      <c r="F66" s="99" t="inlineStr">
        <is>
          <t>ループ処理によって、取得した値の編集を繰り返す設計となっている場合、登録、更新された値が［システム機能設計書/共通コンポーネント設計書の記載通り］であること。</t>
        </is>
      </c>
      <c r="G66" s="60" t="n"/>
      <c r="H66" s="99" t="n"/>
      <c r="I66" s="99" t="n"/>
      <c r="J66" s="60" t="n"/>
      <c r="K66" s="105" t="n"/>
      <c r="L66" s="44" t="n"/>
      <c r="M66" s="283" t="n"/>
      <c r="N66" s="82" t="n"/>
      <c r="O66" s="46" t="n"/>
      <c r="P66" s="283" t="n"/>
      <c r="Q66" s="82" t="n"/>
    </row>
    <row r="67" ht="33" customFormat="1" customHeight="1" s="88">
      <c r="A67" s="38">
        <f t="array" ref="A67">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_xlpm.テスト内容数（テスト内容が空の場合は1）, IF(_xlpm.テスト内容数=0,1,_xlpm.テスト内容数),
_xlpm.詳細項目数&amp;"-"&amp;_xlpm.観点数&amp;"-"&amp;_xlpm.テスト内容数（テスト内容が空の場合は1）
)</f>
        <v/>
      </c>
      <c r="B67" s="48" t="n"/>
      <c r="C67" s="48" t="n"/>
      <c r="D67" s="41" t="n"/>
      <c r="E67" s="41" t="n"/>
      <c r="F67" s="99" t="inlineStr">
        <is>
          <t>取得した値を使用して計算する設計となっている場合、登録、更新された値が［システム機能設計書/共通コンポーネント設計書の記載通り］であること。</t>
        </is>
      </c>
      <c r="G67" s="60" t="n"/>
      <c r="H67" s="99" t="n"/>
      <c r="I67" s="99" t="n"/>
      <c r="J67" s="60" t="n"/>
      <c r="K67" s="105" t="n"/>
      <c r="L67" s="44" t="n"/>
      <c r="M67" s="283" t="n"/>
      <c r="N67" s="82" t="n"/>
      <c r="O67" s="46" t="n"/>
      <c r="P67" s="283" t="n"/>
      <c r="Q67" s="82" t="n"/>
    </row>
    <row r="68" ht="33" customFormat="1" customHeight="1" s="88">
      <c r="A68" s="38">
        <f t="array" ref="A68">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_xlpm.テスト内容数（テスト内容が空の場合は1）, IF(_xlpm.テスト内容数=0,1,_xlpm.テスト内容数),
_xlpm.詳細項目数&amp;"-"&amp;_xlpm.観点数&amp;"-"&amp;_xlpm.テスト内容数（テスト内容が空の場合は1）
)</f>
        <v/>
      </c>
      <c r="B68" s="48" t="n"/>
      <c r="C68" s="48" t="n"/>
      <c r="D68" s="41" t="n"/>
      <c r="E68" s="41" t="n"/>
      <c r="F68" s="99" t="inlineStr">
        <is>
          <t>取得した値を連結する設計となっている場合、登録、更新された値が［システム機能設計書/共通コンポーネント設計書の記載通り］であること。</t>
        </is>
      </c>
      <c r="G68" s="60" t="n"/>
      <c r="H68" s="99" t="n"/>
      <c r="I68" s="99" t="n"/>
      <c r="J68" s="60" t="n"/>
      <c r="K68" s="105" t="n"/>
      <c r="L68" s="44" t="n"/>
      <c r="M68" s="283" t="n"/>
      <c r="N68" s="82" t="n"/>
      <c r="O68" s="46" t="n"/>
      <c r="P68" s="283" t="n"/>
      <c r="Q68" s="82" t="n"/>
    </row>
    <row r="69" ht="22" customFormat="1" customHeight="1" s="88">
      <c r="A69" s="38">
        <f t="array" ref="A69">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_xlpm.テスト内容数（テスト内容が空の場合は1）, IF(_xlpm.テスト内容数=0,1,_xlpm.テスト内容数),
_xlpm.詳細項目数&amp;"-"&amp;_xlpm.観点数&amp;"-"&amp;_xlpm.テスト内容数（テスト内容が空の場合は1）
)</f>
        <v/>
      </c>
      <c r="B69" s="48" t="n"/>
      <c r="C69" s="48" t="n"/>
      <c r="D69" s="41" t="n"/>
      <c r="E69" s="41" t="n"/>
      <c r="F69" s="99" t="inlineStr">
        <is>
          <t>取得した値を暗号化する設計となっている場合、登録、更新された値が暗号化されること。</t>
        </is>
      </c>
      <c r="G69" s="60" t="n"/>
      <c r="H69" s="99" t="n"/>
      <c r="I69" s="99" t="n"/>
      <c r="J69" s="60" t="n"/>
      <c r="K69" s="105" t="n"/>
      <c r="L69" s="44" t="n"/>
      <c r="M69" s="283" t="n"/>
      <c r="N69" s="82" t="n"/>
      <c r="O69" s="46" t="n"/>
      <c r="P69" s="283" t="n"/>
      <c r="Q69" s="82" t="n"/>
    </row>
    <row r="70" ht="22" customFormat="1" customHeight="1" s="88">
      <c r="A70" s="38">
        <f t="array" ref="A70">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_xlpm.テスト内容数（テスト内容が空の場合は1）, IF(_xlpm.テスト内容数=0,1,_xlpm.テスト内容数),
_xlpm.詳細項目数&amp;"-"&amp;_xlpm.観点数&amp;"-"&amp;_xlpm.テスト内容数（テスト内容が空の場合は1）
)</f>
        <v/>
      </c>
      <c r="B70" s="48" t="n"/>
      <c r="C70" s="48" t="n"/>
      <c r="D70" s="41" t="n"/>
      <c r="E70" s="41" t="n"/>
      <c r="F70" s="99" t="inlineStr">
        <is>
          <t>取得した値をマスキングする設計となっている場合、登録、更新された値がマスキングされること。</t>
        </is>
      </c>
      <c r="G70" s="60" t="n"/>
      <c r="H70" s="99" t="n"/>
      <c r="I70" s="99" t="n"/>
      <c r="J70" s="60" t="n"/>
      <c r="K70" s="105" t="n"/>
      <c r="L70" s="44" t="n"/>
      <c r="M70" s="283" t="n"/>
      <c r="N70" s="82" t="n"/>
      <c r="O70" s="46" t="n"/>
      <c r="P70" s="283" t="n"/>
      <c r="Q70" s="82" t="n"/>
    </row>
    <row r="71" ht="33" customFormat="1" customHeight="1" s="88">
      <c r="A71" s="38">
        <f t="array" ref="A7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_xlpm.テスト内容数（テスト内容が空の場合は1）, IF(_xlpm.テスト内容数=0,1,_xlpm.テスト内容数),
_xlpm.詳細項目数&amp;"-"&amp;_xlpm.観点数&amp;"-"&amp;_xlpm.テスト内容数（テスト内容が空の場合は1）
)</f>
        <v/>
      </c>
      <c r="B71" s="48" t="n"/>
      <c r="C71" s="48" t="n"/>
      <c r="D71" s="41" t="n"/>
      <c r="E71" s="41" t="n"/>
      <c r="F71" s="40" t="inlineStr">
        <is>
          <t>取得した値に改行、タブ、メタキャラクタが含まれる場合、登録、更新された値がエンコーディング、サニタイジングされること。</t>
        </is>
      </c>
      <c r="G71" s="60" t="n"/>
      <c r="H71" s="40" t="n"/>
      <c r="I71" s="40" t="n"/>
      <c r="J71" s="61" t="n"/>
      <c r="K71" s="78" t="n"/>
      <c r="L71" s="63" t="n"/>
      <c r="M71" s="284" t="n"/>
      <c r="N71" s="65" t="n"/>
      <c r="O71" s="66" t="n"/>
      <c r="P71" s="284" t="n"/>
      <c r="Q71" s="65" t="n"/>
    </row>
    <row r="72" ht="22" customFormat="1" customHeight="1" s="88">
      <c r="A72" s="38">
        <f t="array" ref="A72">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_xlpm.テスト内容数（テスト内容が空の場合は1）, IF(_xlpm.テスト内容数=0,1,_xlpm.テスト内容数),
_xlpm.詳細項目数&amp;"-"&amp;_xlpm.観点数&amp;"-"&amp;_xlpm.テスト内容数（テスト内容が空の場合は1）
)</f>
        <v/>
      </c>
      <c r="B72" s="98" t="n"/>
      <c r="C72" s="98" t="n"/>
      <c r="D72" s="90" t="n"/>
      <c r="E72" s="40" t="inlineStr">
        <is>
          <t>データ型</t>
        </is>
      </c>
      <c r="F72" s="40" t="inlineStr">
        <is>
          <t>カラムのデータ型に合わせて、指定された値が登録、更新されること。</t>
        </is>
      </c>
      <c r="G72" s="60" t="n"/>
      <c r="H72" s="99" t="n"/>
      <c r="I72" s="69" t="n"/>
      <c r="J72" s="105" t="n"/>
      <c r="K72" s="105" t="n"/>
      <c r="L72" s="105" t="n"/>
      <c r="M72" s="82" t="n"/>
      <c r="N72" s="82" t="n"/>
      <c r="O72" s="101" t="n"/>
      <c r="P72" s="105" t="n"/>
      <c r="Q72" s="105" t="n"/>
    </row>
    <row r="73" ht="22" customFormat="1" customHeight="1" s="88">
      <c r="A73" s="38">
        <f t="array" ref="A73">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_xlpm.テスト内容数（テスト内容が空の場合は1）, IF(_xlpm.テスト内容数=0,1,_xlpm.テスト内容数),
_xlpm.詳細項目数&amp;"-"&amp;_xlpm.観点数&amp;"-"&amp;_xlpm.テスト内容数（テスト内容が空の場合は1）
)</f>
        <v/>
      </c>
      <c r="B73" s="54" t="n"/>
      <c r="C73" s="71" t="n"/>
      <c r="D73" s="41" t="n"/>
      <c r="E73" s="40" t="inlineStr">
        <is>
          <t>桁数</t>
        </is>
      </c>
      <c r="F73" s="40" t="inlineStr">
        <is>
          <t>最大長が指定された場合、登録、更新されること。</t>
        </is>
      </c>
      <c r="G73" s="60" t="n"/>
      <c r="H73" s="99" t="n"/>
      <c r="I73" s="72" t="n"/>
      <c r="J73" s="105" t="n"/>
      <c r="K73" s="105" t="n"/>
      <c r="L73" s="105" t="n"/>
      <c r="M73" s="82" t="n"/>
      <c r="N73" s="82" t="n"/>
      <c r="O73" s="101" t="n"/>
      <c r="P73" s="105" t="n"/>
      <c r="Q73" s="105" t="n"/>
    </row>
    <row r="74" ht="22" customFormat="1" customHeight="1" s="88">
      <c r="A74" s="38">
        <f t="array" ref="A74">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_xlpm.テスト内容数（テスト内容が空の場合は1）, IF(_xlpm.テスト内容数=0,1,_xlpm.テスト内容数),
_xlpm.詳細項目数&amp;"-"&amp;_xlpm.観点数&amp;"-"&amp;_xlpm.テスト内容数（テスト内容が空の場合は1）
)</f>
        <v/>
      </c>
      <c r="B74" s="54" t="n"/>
      <c r="C74" s="71" t="n"/>
      <c r="D74" s="41" t="n"/>
      <c r="E74" s="41" t="n"/>
      <c r="F74" s="99" t="inlineStr">
        <is>
          <t>最大長＋1が指定された場合、登録、更新されないこと。</t>
        </is>
      </c>
      <c r="G74" s="60" t="n"/>
      <c r="H74" s="99" t="n"/>
      <c r="I74" s="99" t="n"/>
      <c r="J74" s="60" t="n"/>
      <c r="K74" s="105" t="n"/>
      <c r="L74" s="44" t="n"/>
      <c r="M74" s="283" t="n"/>
      <c r="N74" s="82" t="n"/>
      <c r="O74" s="46" t="n"/>
      <c r="P74" s="283" t="n"/>
      <c r="Q74" s="82" t="n"/>
    </row>
    <row r="75" ht="22" customHeight="1">
      <c r="A75" s="38">
        <f t="array" ref="A75">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_xlpm.テスト内容数（テスト内容が空の場合は1）, IF(_xlpm.テスト内容数=0,1,_xlpm.テスト内容数),
_xlpm.詳細項目数&amp;"-"&amp;_xlpm.観点数&amp;"-"&amp;_xlpm.テスト内容数（テスト内容が空の場合は1）
)</f>
        <v/>
      </c>
      <c r="B75" s="48" t="n"/>
      <c r="C75" s="71" t="n"/>
      <c r="D75" s="41" t="n"/>
      <c r="E75" s="41" t="n"/>
      <c r="F75" s="99" t="inlineStr">
        <is>
          <t>最小長が指定された場合、登録、更新されること。</t>
        </is>
      </c>
      <c r="G75" s="60" t="n"/>
      <c r="H75" s="99" t="n"/>
      <c r="I75" s="99" t="n"/>
      <c r="J75" s="60" t="n"/>
      <c r="K75" s="82" t="n"/>
      <c r="L75" s="44" t="n"/>
      <c r="M75" s="82" t="n"/>
      <c r="N75" s="82" t="n"/>
      <c r="O75" s="82" t="n"/>
      <c r="P75" s="82" t="n"/>
      <c r="Q75" s="82" t="n"/>
    </row>
    <row r="76" ht="22" customHeight="1">
      <c r="A76" s="38">
        <f t="array" ref="A76">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_xlpm.テスト内容数（テスト内容が空の場合は1）, IF(_xlpm.テスト内容数=0,1,_xlpm.テスト内容数),
_xlpm.詳細項目数&amp;"-"&amp;_xlpm.観点数&amp;"-"&amp;_xlpm.テスト内容数（テスト内容が空の場合は1）
)</f>
        <v/>
      </c>
      <c r="B76" s="48" t="n"/>
      <c r="C76" s="71" t="n"/>
      <c r="D76" s="41" t="n"/>
      <c r="E76" s="41" t="n"/>
      <c r="F76" s="99" t="inlineStr">
        <is>
          <t>最小長－1が指定された場合、登録、更新されないこと。</t>
        </is>
      </c>
      <c r="G76" s="60" t="n"/>
      <c r="H76" s="99" t="n"/>
      <c r="I76" s="99" t="n"/>
      <c r="J76" s="60" t="n"/>
      <c r="K76" s="82" t="n"/>
      <c r="L76" s="44" t="n"/>
      <c r="M76" s="82" t="n"/>
      <c r="N76" s="82" t="n"/>
      <c r="O76" s="82" t="n"/>
      <c r="P76" s="82" t="n"/>
      <c r="Q76" s="82" t="n"/>
    </row>
    <row r="77" ht="22" customHeight="1">
      <c r="A77" s="38">
        <f t="array" ref="A77">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_xlpm.テスト内容数（テスト内容が空の場合は1）, IF(_xlpm.テスト内容数=0,1,_xlpm.テスト内容数),
_xlpm.詳細項目数&amp;"-"&amp;_xlpm.観点数&amp;"-"&amp;_xlpm.テスト内容数（テスト内容が空の場合は1）
)</f>
        <v/>
      </c>
      <c r="B77" s="54" t="n"/>
      <c r="C77" s="73" t="n"/>
      <c r="D77" s="50" t="n"/>
      <c r="E77" s="50" t="n"/>
      <c r="F77" s="99" t="inlineStr">
        <is>
          <t>サロゲートペア文字を許容する設計となっている場合、サロゲートペア文字を含む値が登録、更新されること。</t>
        </is>
      </c>
      <c r="G77" s="60" t="n"/>
      <c r="H77" s="99" t="n"/>
      <c r="I77" s="99" t="n"/>
      <c r="J77" s="60" t="n"/>
      <c r="K77" s="82" t="n"/>
      <c r="L77" s="44" t="n"/>
      <c r="M77" s="82" t="n"/>
      <c r="N77" s="82" t="n"/>
      <c r="O77" s="82" t="n"/>
      <c r="P77" s="82" t="n"/>
      <c r="Q77" s="82" t="n"/>
    </row>
    <row r="78" ht="22" customHeight="1">
      <c r="A78" s="38">
        <f t="array" ref="A78">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_xlpm.テスト内容数（テスト内容が空の場合は1）, IF(_xlpm.テスト内容数=0,1,_xlpm.テスト内容数),
_xlpm.詳細項目数&amp;"-"&amp;_xlpm.観点数&amp;"-"&amp;_xlpm.テスト内容数（テスト内容が空の場合は1）
)</f>
        <v/>
      </c>
      <c r="B78" s="54" t="n"/>
      <c r="C78" s="53" t="inlineStr">
        <is>
          <t>検索</t>
        </is>
      </c>
      <c r="D78" s="40" t="inlineStr">
        <is>
          <t>実行結果</t>
        </is>
      </c>
      <c r="E78" s="40" t="inlineStr">
        <is>
          <t>-</t>
        </is>
      </c>
      <c r="F78" s="40" t="inlineStr">
        <is>
          <t>検索対象のテーブルにレコードがある場合、期待したレコードを取得できること。</t>
        </is>
      </c>
      <c r="G78" s="60" t="n"/>
      <c r="H78" s="99" t="n"/>
      <c r="I78" s="99" t="n"/>
      <c r="J78" s="60" t="n"/>
      <c r="K78" s="105" t="n"/>
      <c r="L78" s="44" t="n"/>
      <c r="M78" s="82" t="n"/>
      <c r="N78" s="46" t="n"/>
      <c r="O78" s="82" t="n"/>
      <c r="P78" s="82" t="n"/>
      <c r="Q78" s="82" t="n"/>
    </row>
    <row r="79" ht="33" customHeight="1">
      <c r="A79" s="38">
        <f t="array" ref="A79">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_xlpm.テスト内容数（テスト内容が空の場合は1）, IF(_xlpm.テスト内容数=0,1,_xlpm.テスト内容数),
_xlpm.詳細項目数&amp;"-"&amp;_xlpm.観点数&amp;"-"&amp;_xlpm.テスト内容数（テスト内容が空の場合は1）
)</f>
        <v/>
      </c>
      <c r="B79" s="48" t="n"/>
      <c r="C79" s="74" t="n"/>
      <c r="D79" s="41" t="n"/>
      <c r="E79" s="41" t="n"/>
      <c r="F79" s="40" t="inlineStr">
        <is>
          <t>検索対象のテーブルのレコードが0件の場合、［システム機能設計書/共通コンポーネント設計書の記載通りの挙動］であること。</t>
        </is>
      </c>
      <c r="G79" s="60" t="n"/>
      <c r="H79" s="99" t="n"/>
      <c r="I79" s="99" t="n"/>
      <c r="J79" s="60" t="n"/>
      <c r="K79" s="105" t="n"/>
      <c r="L79" s="44" t="n"/>
      <c r="M79" s="82" t="n"/>
      <c r="N79" s="46" t="n"/>
      <c r="O79" s="82" t="n"/>
      <c r="P79" s="82" t="n"/>
      <c r="Q79" s="82" t="n"/>
    </row>
    <row r="80" ht="22" customHeight="1">
      <c r="A80" s="38">
        <f t="array" ref="A80">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_xlpm.テスト内容数（テスト内容が空の場合は1）, IF(_xlpm.テスト内容数=0,1,_xlpm.テスト内容数),
_xlpm.詳細項目数&amp;"-"&amp;_xlpm.観点数&amp;"-"&amp;_xlpm.テスト内容数（テスト内容が空の場合は1）
)</f>
        <v/>
      </c>
      <c r="B80" s="48" t="n"/>
      <c r="C80" s="74" t="n"/>
      <c r="D80" s="41" t="n"/>
      <c r="E80" s="40" t="inlineStr">
        <is>
          <t>件数</t>
        </is>
      </c>
      <c r="F80" s="40" t="inlineStr">
        <is>
          <t>期待したレコード件数を取得できること。</t>
        </is>
      </c>
      <c r="G80" s="60" t="n"/>
      <c r="H80" s="99" t="n"/>
      <c r="I80" s="99" t="n"/>
      <c r="J80" s="60" t="n"/>
      <c r="K80" s="82" t="n"/>
      <c r="L80" s="44" t="n"/>
      <c r="M80" s="82" t="n"/>
      <c r="N80" s="82" t="n"/>
      <c r="O80" s="82" t="n"/>
      <c r="P80" s="82" t="n"/>
      <c r="Q80" s="82" t="n"/>
    </row>
    <row r="81" ht="33" customHeight="1">
      <c r="A81" s="38">
        <f t="array" ref="A8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_xlpm.テスト内容数（テスト内容が空の場合は1）, IF(_xlpm.テスト内容数=0,1,_xlpm.テスト内容数),
_xlpm.詳細項目数&amp;"-"&amp;_xlpm.観点数&amp;"-"&amp;_xlpm.テスト内容数（テスト内容が空の場合は1）
)</f>
        <v/>
      </c>
      <c r="B81" s="48" t="n"/>
      <c r="C81" s="74" t="n"/>
      <c r="D81" s="41" t="n"/>
      <c r="E81" s="40" t="inlineStr">
        <is>
          <t>結合</t>
        </is>
      </c>
      <c r="F81" s="99" t="inlineStr">
        <is>
          <t>内部結合（INNER JOIN句）を使用する場合、［システム機能設計書/共通コンポーネント設計書の記載通り］に結合された結果が取得できること。</t>
        </is>
      </c>
      <c r="G81" s="60" t="n"/>
      <c r="H81" s="99" t="n"/>
      <c r="I81" s="99" t="n"/>
      <c r="J81" s="60" t="n"/>
      <c r="K81" s="105" t="n"/>
      <c r="L81" s="44" t="n"/>
      <c r="M81" s="82" t="n"/>
      <c r="N81" s="82" t="n"/>
      <c r="O81" s="82" t="n"/>
      <c r="P81" s="82" t="n"/>
      <c r="Q81" s="82" t="n"/>
    </row>
    <row r="82" ht="33" customHeight="1">
      <c r="A82" s="38">
        <f t="array" ref="A82">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_xlpm.テスト内容数（テスト内容が空の場合は1）, IF(_xlpm.テスト内容数=0,1,_xlpm.テスト内容数),
_xlpm.詳細項目数&amp;"-"&amp;_xlpm.観点数&amp;"-"&amp;_xlpm.テスト内容数（テスト内容が空の場合は1）
)</f>
        <v/>
      </c>
      <c r="B82" s="48" t="n"/>
      <c r="C82" s="74" t="n"/>
      <c r="D82" s="41" t="n"/>
      <c r="E82" s="50" t="n"/>
      <c r="F82" s="99" t="inlineStr">
        <is>
          <t>外部結合（OUTER JOIN句）を使用する場合、［システム機能設計書/共通コンポーネント設計書の記載通り］に結合された結果が取得できること。</t>
        </is>
      </c>
      <c r="G82" s="60" t="n"/>
      <c r="H82" s="99" t="n"/>
      <c r="I82" s="99" t="n"/>
      <c r="J82" s="60" t="n"/>
      <c r="K82" s="82" t="n"/>
      <c r="L82" s="44" t="n"/>
      <c r="M82" s="82" t="n"/>
      <c r="N82" s="82" t="n"/>
      <c r="O82" s="82" t="n"/>
      <c r="P82" s="82" t="n"/>
      <c r="Q82" s="82" t="n"/>
    </row>
    <row r="83" ht="22" customHeight="1">
      <c r="A83" s="38">
        <f t="array" ref="A83">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_xlpm.テスト内容数（テスト内容が空の場合は1）, IF(_xlpm.テスト内容数=0,1,_xlpm.テスト内容数),
_xlpm.詳細項目数&amp;"-"&amp;_xlpm.観点数&amp;"-"&amp;_xlpm.テスト内容数（テスト内容が空の場合は1）
)</f>
        <v/>
      </c>
      <c r="B83" s="48" t="n"/>
      <c r="C83" s="74" t="n"/>
      <c r="D83" s="41" t="n"/>
      <c r="E83" s="50" t="inlineStr">
        <is>
          <t>ソート順</t>
        </is>
      </c>
      <c r="F83" s="99" t="inlineStr">
        <is>
          <t>ORDER BY句に指定した条件でソートされた結果を取得できること。</t>
        </is>
      </c>
      <c r="G83" s="60" t="n"/>
      <c r="H83" s="99" t="n"/>
      <c r="I83" s="99" t="n"/>
      <c r="J83" s="60" t="n"/>
      <c r="K83" s="82" t="n"/>
      <c r="L83" s="44" t="n"/>
      <c r="M83" s="82" t="n"/>
      <c r="N83" s="82" t="n"/>
      <c r="O83" s="82" t="n"/>
      <c r="P83" s="82" t="n"/>
      <c r="Q83" s="82" t="n"/>
    </row>
    <row r="84" ht="22" customHeight="1">
      <c r="A84" s="38">
        <f t="array" ref="A84">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_xlpm.テスト内容数（テスト内容が空の場合は1）, IF(_xlpm.テスト内容数=0,1,_xlpm.テスト内容数),
_xlpm.詳細項目数&amp;"-"&amp;_xlpm.観点数&amp;"-"&amp;_xlpm.テスト内容数（テスト内容が空の場合は1）
)</f>
        <v/>
      </c>
      <c r="B84" s="48" t="n"/>
      <c r="C84" s="75" t="n"/>
      <c r="D84" s="50" t="n"/>
      <c r="E84" s="50" t="inlineStr">
        <is>
          <t>グループ化</t>
        </is>
      </c>
      <c r="F84" s="99" t="inlineStr">
        <is>
          <t>GROUP BY句に指定した条件でグループ化された結果を取得できること。</t>
        </is>
      </c>
      <c r="G84" s="60" t="n"/>
      <c r="H84" s="99" t="n"/>
      <c r="I84" s="99" t="n"/>
      <c r="J84" s="60" t="n"/>
      <c r="K84" s="82" t="n"/>
      <c r="L84" s="44" t="n"/>
      <c r="M84" s="82" t="n"/>
      <c r="N84" s="82" t="n"/>
      <c r="O84" s="82" t="n"/>
      <c r="P84" s="82" t="n"/>
      <c r="Q84" s="82" t="n"/>
    </row>
    <row r="85" ht="22" customHeight="1">
      <c r="A85" s="38">
        <f t="array" ref="A85">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_xlpm.テスト内容数（テスト内容が空の場合は1）, IF(_xlpm.テスト内容数=0,1,_xlpm.テスト内容数),
_xlpm.詳細項目数&amp;"-"&amp;_xlpm.観点数&amp;"-"&amp;_xlpm.テスト内容数（テスト内容が空の場合は1）
)</f>
        <v/>
      </c>
      <c r="B85" s="48" t="n"/>
      <c r="C85" s="41" t="inlineStr">
        <is>
          <t>登録</t>
        </is>
      </c>
      <c r="D85" s="41" t="inlineStr">
        <is>
          <t>実行結果</t>
        </is>
      </c>
      <c r="E85" s="99" t="inlineStr">
        <is>
          <t>-</t>
        </is>
      </c>
      <c r="F85" s="99" t="inlineStr">
        <is>
          <t>登録対象のテーブルに期待したレコードが追加されること。</t>
        </is>
      </c>
      <c r="G85" s="60" t="n"/>
      <c r="H85" s="99" t="n"/>
      <c r="I85" s="76" t="n"/>
      <c r="J85" s="60" t="n"/>
      <c r="K85" s="82" t="n"/>
      <c r="L85" s="44" t="n"/>
      <c r="M85" s="82" t="n"/>
      <c r="N85" s="82" t="n"/>
      <c r="O85" s="82" t="n"/>
      <c r="P85" s="82" t="n"/>
      <c r="Q85" s="82" t="n"/>
    </row>
    <row r="86" ht="22" customHeight="1">
      <c r="A86" s="38">
        <f t="array" ref="A86">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_xlpm.テスト内容数（テスト内容が空の場合は1）, IF(_xlpm.テスト内容数=0,1,_xlpm.テスト内容数),
_xlpm.詳細項目数&amp;"-"&amp;_xlpm.観点数&amp;"-"&amp;_xlpm.テスト内容数（テスト内容が空の場合は1）
)</f>
        <v/>
      </c>
      <c r="B86" s="48" t="n"/>
      <c r="C86" s="74" t="n"/>
      <c r="D86" s="41" t="n"/>
      <c r="E86" s="50" t="inlineStr">
        <is>
          <t>件数</t>
        </is>
      </c>
      <c r="F86" s="99" t="inlineStr">
        <is>
          <t>期待したレコード件数を登録できること。</t>
        </is>
      </c>
      <c r="G86" s="60" t="n"/>
      <c r="H86" s="99" t="n"/>
      <c r="I86" s="76" t="n"/>
      <c r="J86" s="60" t="n"/>
      <c r="K86" s="82" t="n"/>
      <c r="L86" s="44" t="n"/>
      <c r="M86" s="82" t="n"/>
      <c r="N86" s="82" t="n"/>
      <c r="O86" s="82" t="n"/>
      <c r="P86" s="82" t="n"/>
      <c r="Q86" s="82" t="n"/>
    </row>
    <row r="87" ht="33" customHeight="1">
      <c r="A87" s="38">
        <f t="array" ref="A87">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_xlpm.テスト内容数（テスト内容が空の場合は1）, IF(_xlpm.テスト内容数=0,1,_xlpm.テスト内容数),
_xlpm.詳細項目数&amp;"-"&amp;_xlpm.観点数&amp;"-"&amp;_xlpm.テスト内容数（テスト内容が空の場合は1）
)</f>
        <v/>
      </c>
      <c r="B87" s="48" t="n"/>
      <c r="C87" s="75" t="n"/>
      <c r="D87" s="50" t="n"/>
      <c r="E87" s="50" t="inlineStr">
        <is>
          <t>エラー</t>
        </is>
      </c>
      <c r="F87" s="99" t="inlineStr">
        <is>
          <t>エラーが発生した場合、登録対象のテーブルの状態が［システム機能設計書/共通コンポーネント設計書/方式設計書の記載通り］であること。</t>
        </is>
      </c>
      <c r="G87" s="60" t="n"/>
      <c r="H87" s="99" t="n"/>
      <c r="I87" s="99" t="n"/>
      <c r="J87" s="60" t="n"/>
      <c r="K87" s="82" t="n"/>
      <c r="L87" s="44" t="n"/>
      <c r="M87" s="82" t="n"/>
      <c r="N87" s="82" t="n"/>
      <c r="O87" s="82" t="n"/>
      <c r="P87" s="82" t="n"/>
      <c r="Q87" s="82" t="n"/>
    </row>
    <row r="88" ht="22" customHeight="1">
      <c r="A88" s="38">
        <f t="array" ref="A88">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_xlpm.テスト内容数（テスト内容が空の場合は1）, IF(_xlpm.テスト内容数=0,1,_xlpm.テスト内容数),
_xlpm.詳細項目数&amp;"-"&amp;_xlpm.観点数&amp;"-"&amp;_xlpm.テスト内容数（テスト内容が空の場合は1）
)</f>
        <v/>
      </c>
      <c r="B88" s="48" t="n"/>
      <c r="C88" s="52" t="inlineStr">
        <is>
          <t>更新</t>
        </is>
      </c>
      <c r="D88" s="41" t="inlineStr">
        <is>
          <t>実行結果</t>
        </is>
      </c>
      <c r="E88" s="40" t="inlineStr">
        <is>
          <t>-</t>
        </is>
      </c>
      <c r="F88" s="40" t="inlineStr">
        <is>
          <t>更新対象のテーブルに更新するレコードがある場合、期待したレコードが更新されること。</t>
        </is>
      </c>
      <c r="G88" s="60" t="n"/>
      <c r="H88" s="99" t="n"/>
      <c r="I88" s="76" t="n"/>
      <c r="J88" s="60" t="n"/>
      <c r="K88" s="82" t="n"/>
      <c r="L88" s="44" t="n"/>
      <c r="M88" s="82" t="n"/>
      <c r="N88" s="46" t="n"/>
      <c r="O88" s="82" t="n"/>
      <c r="P88" s="82" t="n"/>
      <c r="Q88" s="82" t="n"/>
    </row>
    <row r="89" ht="33" customHeight="1">
      <c r="A89" s="38">
        <f t="array" ref="A89">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_xlpm.テスト内容数（テスト内容が空の場合は1）, IF(_xlpm.テスト内容数=0,1,_xlpm.テスト内容数),
_xlpm.詳細項目数&amp;"-"&amp;_xlpm.観点数&amp;"-"&amp;_xlpm.テスト内容数（テスト内容が空の場合は1）
)</f>
        <v/>
      </c>
      <c r="B89" s="48" t="n"/>
      <c r="C89" s="74" t="n"/>
      <c r="D89" s="41" t="n"/>
      <c r="E89" s="50" t="n"/>
      <c r="F89" s="40" t="inlineStr">
        <is>
          <t>更新対象のテーブルに更新するレコードがない場合、［システム機能設計書/共通コンポーネント設計書の記載通りの挙動］となること。</t>
        </is>
      </c>
      <c r="G89" s="60" t="n"/>
      <c r="H89" s="99" t="n"/>
      <c r="I89" s="76" t="n"/>
      <c r="J89" s="60" t="n"/>
      <c r="K89" s="82" t="n"/>
      <c r="L89" s="44" t="n"/>
      <c r="M89" s="82" t="n"/>
      <c r="N89" s="82" t="n"/>
      <c r="O89" s="82" t="n"/>
      <c r="P89" s="82" t="n"/>
      <c r="Q89" s="82" t="n"/>
    </row>
    <row r="90" ht="22" customHeight="1">
      <c r="A90" s="38">
        <f t="array" ref="A90">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_xlpm.テスト内容数（テスト内容が空の場合は1）, IF(_xlpm.テスト内容数=0,1,_xlpm.テスト内容数),
_xlpm.詳細項目数&amp;"-"&amp;_xlpm.観点数&amp;"-"&amp;_xlpm.テスト内容数（テスト内容が空の場合は1）
)</f>
        <v/>
      </c>
      <c r="B90" s="48" t="n"/>
      <c r="C90" s="74" t="n"/>
      <c r="D90" s="41" t="n"/>
      <c r="E90" s="99" t="inlineStr">
        <is>
          <t>件数</t>
        </is>
      </c>
      <c r="F90" s="99" t="inlineStr">
        <is>
          <t>期待したレコード件数を更新できること。</t>
        </is>
      </c>
      <c r="G90" s="60" t="n"/>
      <c r="H90" s="99" t="n"/>
      <c r="I90" s="76" t="n"/>
      <c r="J90" s="60" t="n"/>
      <c r="K90" s="82" t="n"/>
      <c r="L90" s="44" t="n"/>
      <c r="M90" s="82" t="n"/>
      <c r="N90" s="82" t="n"/>
      <c r="O90" s="82" t="n"/>
      <c r="P90" s="82" t="n"/>
      <c r="Q90" s="82" t="n"/>
    </row>
    <row r="91" ht="33" customHeight="1">
      <c r="A91" s="38">
        <f t="array" ref="A9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_xlpm.テスト内容数（テスト内容が空の場合は1）, IF(_xlpm.テスト内容数=0,1,_xlpm.テスト内容数),
_xlpm.詳細項目数&amp;"-"&amp;_xlpm.観点数&amp;"-"&amp;_xlpm.テスト内容数（テスト内容が空の場合は1）
)</f>
        <v/>
      </c>
      <c r="B91" s="48" t="n"/>
      <c r="C91" s="74" t="n"/>
      <c r="D91" s="41" t="n"/>
      <c r="E91" s="41" t="inlineStr">
        <is>
          <t>結合</t>
        </is>
      </c>
      <c r="F91" s="99" t="inlineStr">
        <is>
          <t>内部結合（INNER JOIN句）を使用する場合、［システム機能設計書/共通コンポーネント設計書の記載通り］に結合されたレコードが更新できること。</t>
        </is>
      </c>
      <c r="G91" s="60" t="n"/>
      <c r="H91" s="99" t="n"/>
      <c r="I91" s="99" t="n"/>
      <c r="J91" s="60" t="n"/>
      <c r="K91" s="82" t="n"/>
      <c r="L91" s="44" t="n"/>
      <c r="M91" s="82" t="n"/>
      <c r="N91" s="82" t="n"/>
      <c r="O91" s="82" t="n"/>
      <c r="P91" s="82" t="n"/>
      <c r="Q91" s="82" t="n"/>
    </row>
    <row r="92" ht="33" customHeight="1">
      <c r="A92" s="38">
        <f t="array" ref="A92">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_xlpm.テスト内容数（テスト内容が空の場合は1）, IF(_xlpm.テスト内容数=0,1,_xlpm.テスト内容数),
_xlpm.詳細項目数&amp;"-"&amp;_xlpm.観点数&amp;"-"&amp;_xlpm.テスト内容数（テスト内容が空の場合は1）
)</f>
        <v/>
      </c>
      <c r="B92" s="48" t="n"/>
      <c r="C92" s="74" t="n"/>
      <c r="D92" s="41" t="n"/>
      <c r="E92" s="50" t="n"/>
      <c r="F92" s="99" t="inlineStr">
        <is>
          <t>外部結合（OUTER JOIN句）を使用する場合、［システム機能設計書/共通コンポーネント設計書の記載通り］に結合されたレコードが更新できること。</t>
        </is>
      </c>
      <c r="G92" s="60" t="n"/>
      <c r="H92" s="99" t="n"/>
      <c r="I92" s="99" t="n"/>
      <c r="J92" s="60" t="n"/>
      <c r="K92" s="82" t="n"/>
      <c r="L92" s="44" t="n"/>
      <c r="M92" s="82" t="n"/>
      <c r="N92" s="82" t="n"/>
      <c r="O92" s="82" t="n"/>
      <c r="P92" s="82" t="n"/>
      <c r="Q92" s="82" t="n"/>
    </row>
    <row r="93" ht="33" customHeight="1">
      <c r="A93" s="38">
        <f t="array" ref="A93">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_xlpm.テスト内容数（テスト内容が空の場合は1）, IF(_xlpm.テスト内容数=0,1,_xlpm.テスト内容数),
_xlpm.詳細項目数&amp;"-"&amp;_xlpm.観点数&amp;"-"&amp;_xlpm.テスト内容数（テスト内容が空の場合は1）
)</f>
        <v/>
      </c>
      <c r="B93" s="48" t="n"/>
      <c r="C93" s="75" t="n"/>
      <c r="D93" s="50" t="n"/>
      <c r="E93" s="50" t="inlineStr">
        <is>
          <t>エラー</t>
        </is>
      </c>
      <c r="F93" s="99" t="inlineStr">
        <is>
          <t>エラーが発生した場合、更新対象のテーブルの状態が［システム機能設計書/共通コンポーネント設計書/方式設計書の記載通り］であること。</t>
        </is>
      </c>
      <c r="G93" s="60" t="n"/>
      <c r="H93" s="99" t="n"/>
      <c r="I93" s="99" t="n"/>
      <c r="J93" s="60" t="n"/>
      <c r="K93" s="82" t="n"/>
      <c r="L93" s="44" t="n"/>
      <c r="M93" s="82" t="n"/>
      <c r="N93" s="82" t="n"/>
      <c r="O93" s="82" t="n"/>
      <c r="P93" s="82" t="n"/>
      <c r="Q93" s="82" t="n"/>
    </row>
    <row r="94" ht="22" customHeight="1">
      <c r="A94" s="38">
        <f t="array" ref="A94">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_xlpm.テスト内容数（テスト内容が空の場合は1）, IF(_xlpm.テスト内容数=0,1,_xlpm.テスト内容数),
_xlpm.詳細項目数&amp;"-"&amp;_xlpm.観点数&amp;"-"&amp;_xlpm.テスト内容数（テスト内容が空の場合は1）
)</f>
        <v/>
      </c>
      <c r="B94" s="48" t="n"/>
      <c r="C94" s="41" t="inlineStr">
        <is>
          <t>削除</t>
        </is>
      </c>
      <c r="D94" s="41" t="inlineStr">
        <is>
          <t>実行結果</t>
        </is>
      </c>
      <c r="E94" s="41" t="inlineStr">
        <is>
          <t>論理削除</t>
        </is>
      </c>
      <c r="F94" s="99" t="inlineStr">
        <is>
          <t>論理削除対象のテーブルに更新するレコードがある場合、期待したレコードが論理削除されること。</t>
        </is>
      </c>
      <c r="G94" s="60" t="n"/>
      <c r="H94" s="99" t="n"/>
      <c r="I94" s="99" t="n"/>
      <c r="J94" s="60" t="n"/>
      <c r="K94" s="82" t="n"/>
      <c r="L94" s="44" t="n"/>
      <c r="M94" s="82" t="n"/>
      <c r="N94" s="82" t="n"/>
      <c r="O94" s="82" t="n"/>
      <c r="P94" s="82" t="n"/>
      <c r="Q94" s="82" t="n"/>
    </row>
    <row r="95" ht="33" customHeight="1">
      <c r="A95" s="38">
        <f t="array" ref="A95">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_xlpm.テスト内容数（テスト内容が空の場合は1）, IF(_xlpm.テスト内容数=0,1,_xlpm.テスト内容数),
_xlpm.詳細項目数&amp;"-"&amp;_xlpm.観点数&amp;"-"&amp;_xlpm.テスト内容数（テスト内容が空の場合は1）
)</f>
        <v/>
      </c>
      <c r="B95" s="48" t="n"/>
      <c r="C95" s="48" t="n"/>
      <c r="D95" s="41" t="n"/>
      <c r="E95" s="41" t="n"/>
      <c r="F95" s="99" t="inlineStr">
        <is>
          <t>論理削除対象のテーブルに更新するレコードがない場合、［システム機能設計書/共通コンポーネント設計書の記載通りの挙動］となること。</t>
        </is>
      </c>
      <c r="G95" s="60" t="n"/>
      <c r="H95" s="99" t="n"/>
      <c r="I95" s="99" t="n"/>
      <c r="J95" s="60" t="n"/>
      <c r="K95" s="82" t="n"/>
      <c r="L95" s="44" t="n"/>
      <c r="M95" s="82" t="n"/>
      <c r="N95" s="82" t="n"/>
      <c r="O95" s="82" t="n"/>
      <c r="P95" s="82" t="n"/>
      <c r="Q95" s="82" t="n"/>
    </row>
    <row r="96" ht="22" customHeight="1">
      <c r="A96" s="38">
        <f t="array" ref="A96">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_xlpm.テスト内容数（テスト内容が空の場合は1）, IF(_xlpm.テスト内容数=0,1,_xlpm.テスト内容数),
_xlpm.詳細項目数&amp;"-"&amp;_xlpm.観点数&amp;"-"&amp;_xlpm.テスト内容数（テスト内容が空の場合は1）
)</f>
        <v/>
      </c>
      <c r="B96" s="48" t="n"/>
      <c r="C96" s="48" t="n"/>
      <c r="D96" s="41" t="n"/>
      <c r="E96" s="41" t="n"/>
      <c r="F96" s="99" t="inlineStr">
        <is>
          <t>期待したレコード件数を論理削除できること。</t>
        </is>
      </c>
      <c r="G96" s="60" t="n"/>
      <c r="H96" s="99" t="n"/>
      <c r="I96" s="99" t="n"/>
      <c r="J96" s="60" t="n"/>
      <c r="K96" s="82" t="n"/>
      <c r="L96" s="44" t="n"/>
      <c r="M96" s="82" t="n"/>
      <c r="N96" s="82" t="n"/>
      <c r="O96" s="82" t="n"/>
      <c r="P96" s="82" t="n"/>
      <c r="Q96" s="82" t="n"/>
    </row>
    <row r="97" ht="33" customHeight="1">
      <c r="A97" s="38">
        <f t="array" ref="A97">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_xlpm.テスト内容数（テスト内容が空の場合は1）, IF(_xlpm.テスト内容数=0,1,_xlpm.テスト内容数),
_xlpm.詳細項目数&amp;"-"&amp;_xlpm.観点数&amp;"-"&amp;_xlpm.テスト内容数（テスト内容が空の場合は1）
)</f>
        <v/>
      </c>
      <c r="B97" s="48" t="n"/>
      <c r="C97" s="74" t="n"/>
      <c r="D97" s="41" t="n"/>
      <c r="E97" s="41" t="n"/>
      <c r="F97" s="99" t="inlineStr">
        <is>
          <t>内部結合（INNER JOIN句）を使用する場合、［システム機能設計書/共通コンポーネント設計書の記載通り］に結合されたレコードが論理削除できること。</t>
        </is>
      </c>
      <c r="G97" s="60" t="n"/>
      <c r="H97" s="99" t="n"/>
      <c r="I97" s="99" t="n"/>
      <c r="J97" s="60" t="n"/>
      <c r="K97" s="82" t="n"/>
      <c r="L97" s="44" t="n"/>
      <c r="M97" s="82" t="n"/>
      <c r="N97" s="82" t="n"/>
      <c r="O97" s="82" t="n"/>
      <c r="P97" s="82" t="n"/>
      <c r="Q97" s="82" t="n"/>
    </row>
    <row r="98" ht="33" customHeight="1">
      <c r="A98" s="38">
        <f t="array" ref="A98">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_xlpm.テスト内容数（テスト内容が空の場合は1）, IF(_xlpm.テスト内容数=0,1,_xlpm.テスト内容数),
_xlpm.詳細項目数&amp;"-"&amp;_xlpm.観点数&amp;"-"&amp;_xlpm.テスト内容数（テスト内容が空の場合は1）
)</f>
        <v/>
      </c>
      <c r="B98" s="48" t="n"/>
      <c r="C98" s="74" t="n"/>
      <c r="D98" s="41" t="n"/>
      <c r="E98" s="50" t="n"/>
      <c r="F98" s="99" t="inlineStr">
        <is>
          <t>外部結合（OUTER JOIN句）を使用する場合、［システム機能設計書/共通コンポーネント設計書の記載通り］に結合されたレコードが論理削除できること。</t>
        </is>
      </c>
      <c r="G98" s="60" t="n"/>
      <c r="H98" s="99" t="n"/>
      <c r="I98" s="99" t="n"/>
      <c r="J98" s="60" t="n"/>
      <c r="K98" s="82" t="n"/>
      <c r="L98" s="44" t="n"/>
      <c r="M98" s="82" t="n"/>
      <c r="N98" s="82" t="n"/>
      <c r="O98" s="82" t="n"/>
      <c r="P98" s="82" t="n"/>
      <c r="Q98" s="82" t="n"/>
    </row>
    <row r="99" ht="22" customHeight="1">
      <c r="A99" s="38">
        <f t="array" ref="A99">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_xlpm.テスト内容数（テスト内容が空の場合は1）, IF(_xlpm.テスト内容数=0,1,_xlpm.テスト内容数),
_xlpm.詳細項目数&amp;"-"&amp;_xlpm.観点数&amp;"-"&amp;_xlpm.テスト内容数（テスト内容が空の場合は1）
)</f>
        <v/>
      </c>
      <c r="B99" s="48" t="n"/>
      <c r="C99" s="48" t="n"/>
      <c r="D99" s="41" t="n"/>
      <c r="E99" s="41" t="inlineStr">
        <is>
          <t>物理削除</t>
        </is>
      </c>
      <c r="F99" s="99" t="inlineStr">
        <is>
          <t>物理削除対象のテーブルに削除するレコードがある場合、期待したレコードが物理削除されること。</t>
        </is>
      </c>
      <c r="G99" s="60" t="n"/>
      <c r="H99" s="99" t="n"/>
      <c r="I99" s="76" t="n"/>
      <c r="J99" s="60" t="n"/>
      <c r="K99" s="82" t="n"/>
      <c r="L99" s="44" t="n"/>
      <c r="M99" s="82" t="n"/>
      <c r="N99" s="82" t="n"/>
      <c r="O99" s="82" t="n"/>
      <c r="P99" s="82" t="n"/>
      <c r="Q99" s="82" t="n"/>
    </row>
    <row r="100" ht="33" customHeight="1">
      <c r="A100" s="38">
        <f t="array" ref="A100">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_xlpm.テスト内容数（テスト内容が空の場合は1）, IF(_xlpm.テスト内容数=0,1,_xlpm.テスト内容数),
_xlpm.詳細項目数&amp;"-"&amp;_xlpm.観点数&amp;"-"&amp;_xlpm.テスト内容数（テスト内容が空の場合は1）
)</f>
        <v/>
      </c>
      <c r="B100" s="71" t="n"/>
      <c r="C100" s="54" t="n"/>
      <c r="D100" s="41" t="n"/>
      <c r="E100" s="41" t="n"/>
      <c r="F100" s="99" t="inlineStr">
        <is>
          <t>物理削除対象のテーブルに削除するレコードがない場合、［システム機能設計書/共通コンポーネント設計書の記載通りの挙動］となること。</t>
        </is>
      </c>
      <c r="G100" s="60" t="n"/>
      <c r="H100" s="99" t="n"/>
      <c r="I100" s="99" t="n"/>
      <c r="J100" s="60" t="n"/>
      <c r="K100" s="82" t="n"/>
      <c r="L100" s="44" t="n"/>
      <c r="M100" s="82" t="n"/>
      <c r="N100" s="82" t="n"/>
      <c r="O100" s="82" t="n"/>
      <c r="P100" s="82" t="n"/>
      <c r="Q100" s="82" t="n"/>
    </row>
    <row r="101" ht="22" customHeight="1">
      <c r="A101" s="38">
        <f t="array" ref="A10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_xlpm.テスト内容数（テスト内容が空の場合は1）, IF(_xlpm.テスト内容数=0,1,_xlpm.テスト内容数),
_xlpm.詳細項目数&amp;"-"&amp;_xlpm.観点数&amp;"-"&amp;_xlpm.テスト内容数（テスト内容が空の場合は1）
)</f>
        <v/>
      </c>
      <c r="B101" s="71" t="n"/>
      <c r="C101" s="54" t="n"/>
      <c r="D101" s="41" t="n"/>
      <c r="E101" s="41" t="n"/>
      <c r="F101" s="99" t="inlineStr">
        <is>
          <t>期待したレコード件数を物理削除できること。</t>
        </is>
      </c>
      <c r="G101" s="60" t="n"/>
      <c r="H101" s="99" t="n"/>
      <c r="I101" s="76" t="n"/>
      <c r="J101" s="60" t="n"/>
      <c r="K101" s="82" t="n"/>
      <c r="L101" s="44" t="n"/>
      <c r="M101" s="82" t="n"/>
      <c r="N101" s="82" t="n"/>
      <c r="O101" s="82" t="n"/>
      <c r="P101" s="82" t="n"/>
      <c r="Q101" s="82" t="n"/>
    </row>
    <row r="102" ht="33" customHeight="1">
      <c r="A102" s="38">
        <f t="array" ref="A102">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_xlpm.テスト内容数（テスト内容が空の場合は1）, IF(_xlpm.テスト内容数=0,1,_xlpm.テスト内容数),
_xlpm.詳細項目数&amp;"-"&amp;_xlpm.観点数&amp;"-"&amp;_xlpm.テスト内容数（テスト内容が空の場合は1）
)</f>
        <v/>
      </c>
      <c r="B102" s="48" t="n"/>
      <c r="C102" s="74" t="n"/>
      <c r="D102" s="41" t="n"/>
      <c r="E102" s="41" t="n"/>
      <c r="F102" s="99" t="inlineStr">
        <is>
          <t>内部結合（INNER JOIN句）を使用する場合、［システム機能設計書/共通コンポーネント設計書の記載通り］に結合されたレコードが物理削除できること。</t>
        </is>
      </c>
      <c r="G102" s="60" t="n"/>
      <c r="H102" s="99" t="n"/>
      <c r="I102" s="99" t="n"/>
      <c r="J102" s="60" t="n"/>
      <c r="K102" s="82" t="n"/>
      <c r="L102" s="44" t="n"/>
      <c r="M102" s="82" t="n"/>
      <c r="N102" s="82" t="n"/>
      <c r="O102" s="82" t="n"/>
      <c r="P102" s="82" t="n"/>
      <c r="Q102" s="82" t="n"/>
    </row>
    <row r="103" ht="33" customHeight="1">
      <c r="A103" s="38">
        <f t="array" ref="A103">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_xlpm.テスト内容数（テスト内容が空の場合は1）, IF(_xlpm.テスト内容数=0,1,_xlpm.テスト内容数),
_xlpm.詳細項目数&amp;"-"&amp;_xlpm.観点数&amp;"-"&amp;_xlpm.テスト内容数（テスト内容が空の場合は1）
)</f>
        <v/>
      </c>
      <c r="B103" s="48" t="n"/>
      <c r="C103" s="74" t="n"/>
      <c r="D103" s="41" t="n"/>
      <c r="E103" s="41" t="n"/>
      <c r="F103" s="40" t="inlineStr">
        <is>
          <t>外部結合（OUTER JOIN句）を使用する場合、［システム機能設計書/共通コンポーネント設計書の記載通り］に結合されたレコードが物理削除できること。</t>
        </is>
      </c>
      <c r="G103" s="60" t="n"/>
      <c r="H103" s="40" t="n"/>
      <c r="I103" s="40" t="n"/>
      <c r="J103" s="61" t="n"/>
      <c r="K103" s="65" t="n"/>
      <c r="L103" s="63" t="n"/>
      <c r="M103" s="65" t="n"/>
      <c r="N103" s="65" t="n"/>
      <c r="O103" s="65" t="n"/>
      <c r="P103" s="65" t="n"/>
      <c r="Q103" s="65" t="n"/>
    </row>
    <row r="104" ht="33" customHeight="1">
      <c r="A104" s="38">
        <f t="array" ref="A104">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_xlpm.テスト内容数（テスト内容が空の場合は1）, IF(_xlpm.テスト内容数=0,1,_xlpm.テスト内容数),
_xlpm.詳細項目数&amp;"-"&amp;_xlpm.観点数&amp;"-"&amp;_xlpm.テスト内容数（テスト内容が空の場合は1）
)</f>
        <v/>
      </c>
      <c r="B104" s="73" t="n"/>
      <c r="C104" s="75" t="n"/>
      <c r="D104" s="50" t="n"/>
      <c r="E104" s="99" t="inlineStr">
        <is>
          <t>エラー</t>
        </is>
      </c>
      <c r="F104" s="99" t="inlineStr">
        <is>
          <t>エラーが発生した場合、削除対象のテーブルの状態が［システム機能設計書/共通コンポーネント設計書/方式設計書の記載通り］であること。</t>
        </is>
      </c>
      <c r="G104" s="60" t="n"/>
      <c r="H104" s="99" t="n"/>
      <c r="I104" s="99" t="n"/>
      <c r="J104" s="60" t="n"/>
      <c r="K104" s="82" t="n"/>
      <c r="L104" s="44" t="n"/>
      <c r="M104" s="82" t="n"/>
      <c r="N104" s="82" t="n"/>
      <c r="O104" s="82" t="n"/>
      <c r="P104" s="82" t="n"/>
      <c r="Q104" s="82" t="n"/>
    </row>
    <row r="105" ht="33" customHeight="1">
      <c r="A105" s="38">
        <f t="array" ref="A105">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_xlpm.テスト内容数（テスト内容が空の場合は1）, IF(_xlpm.テスト内容数=0,1,_xlpm.テスト内容数),
_xlpm.詳細項目数&amp;"-"&amp;_xlpm.観点数&amp;"-"&amp;_xlpm.テスト内容数（テスト内容が空の場合は1）
)</f>
        <v/>
      </c>
      <c r="B105" s="77" t="inlineStr">
        <is>
          <t>DB制御</t>
        </is>
      </c>
      <c r="C105" s="99" t="inlineStr">
        <is>
          <t>更新順序</t>
        </is>
      </c>
      <c r="D105" s="99" t="inlineStr">
        <is>
          <t>-</t>
        </is>
      </c>
      <c r="E105" s="50" t="inlineStr">
        <is>
          <t>-</t>
        </is>
      </c>
      <c r="F105" s="99" t="inlineStr">
        <is>
          <t>複数テーブルに対し、登録、更新、削除を行う場合、処理されるテーブルの順序が［システム機能設計書/共通コンポーネント設計書の記載通り］であること。</t>
        </is>
      </c>
      <c r="G105" s="60" t="n"/>
      <c r="H105" s="99" t="n"/>
      <c r="I105" s="99" t="n"/>
      <c r="J105" s="82" t="n"/>
      <c r="K105" s="82" t="n"/>
      <c r="L105" s="44" t="n"/>
      <c r="M105" s="82" t="n"/>
      <c r="N105" s="82" t="n"/>
      <c r="O105" s="82" t="n"/>
      <c r="P105" s="82" t="n"/>
      <c r="Q105" s="82" t="n"/>
    </row>
    <row r="106" ht="22" customHeight="1">
      <c r="A106" s="38">
        <f t="array" ref="A106">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_xlpm.テスト内容数（テスト内容が空の場合は1）, IF(_xlpm.テスト内容数=0,1,_xlpm.テスト内容数),
_xlpm.詳細項目数&amp;"-"&amp;_xlpm.観点数&amp;"-"&amp;_xlpm.テスト内容数（テスト内容が空の場合は1）
)</f>
        <v/>
      </c>
      <c r="B106" s="48" t="n"/>
      <c r="C106" s="41" t="inlineStr">
        <is>
          <t>排他制御</t>
        </is>
      </c>
      <c r="D106" s="41" t="inlineStr">
        <is>
          <t>-</t>
        </is>
      </c>
      <c r="E106" s="41" t="inlineStr">
        <is>
          <t>-</t>
        </is>
      </c>
      <c r="F106" s="99" t="inlineStr">
        <is>
          <t>登録、更新、削除の実行時に楽観的ロックができること。</t>
        </is>
      </c>
      <c r="G106" s="60" t="n"/>
      <c r="H106" s="99" t="n"/>
      <c r="I106" s="99" t="n"/>
      <c r="J106" s="82" t="n"/>
      <c r="K106" s="82" t="n"/>
      <c r="L106" s="44" t="n"/>
      <c r="M106" s="82" t="n"/>
      <c r="N106" s="82" t="n"/>
      <c r="O106" s="82" t="n"/>
      <c r="P106" s="82" t="n"/>
      <c r="Q106" s="82" t="n"/>
    </row>
    <row r="107" ht="22" customHeight="1">
      <c r="A107" s="38">
        <f t="array" ref="A107">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_xlpm.テスト内容数（テスト内容が空の場合は1）, IF(_xlpm.テスト内容数=0,1,_xlpm.テスト内容数),
_xlpm.詳細項目数&amp;"-"&amp;_xlpm.観点数&amp;"-"&amp;_xlpm.テスト内容数（テスト内容が空の場合は1）
)</f>
        <v/>
      </c>
      <c r="B107" s="48" t="n"/>
      <c r="C107" s="50" t="n"/>
      <c r="D107" s="50" t="n"/>
      <c r="E107" s="50" t="n"/>
      <c r="F107" s="99" t="inlineStr">
        <is>
          <t>登録、更新、削除の実行時に悲観的ロックができること。</t>
        </is>
      </c>
      <c r="G107" s="60" t="n"/>
      <c r="H107" s="99" t="n"/>
      <c r="I107" s="99" t="n"/>
      <c r="J107" s="82" t="n"/>
      <c r="K107" s="82" t="n"/>
      <c r="L107" s="44" t="n"/>
      <c r="M107" s="82" t="n"/>
      <c r="N107" s="82" t="n"/>
      <c r="O107" s="82" t="n"/>
      <c r="P107" s="82" t="n"/>
      <c r="Q107" s="82" t="n"/>
    </row>
    <row r="108" ht="22" customHeight="1">
      <c r="A108" s="38">
        <f t="array" ref="A108">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_xlpm.テスト内容数（テスト内容が空の場合は1）, IF(_xlpm.テスト内容数=0,1,_xlpm.テスト内容数),
_xlpm.詳細項目数&amp;"-"&amp;_xlpm.観点数&amp;"-"&amp;_xlpm.テスト内容数（テスト内容が空の場合は1）
)</f>
        <v/>
      </c>
      <c r="B108" s="48" t="n"/>
      <c r="C108" s="50" t="inlineStr">
        <is>
          <t>ロールバック</t>
        </is>
      </c>
      <c r="D108" s="50" t="inlineStr">
        <is>
          <t>-</t>
        </is>
      </c>
      <c r="E108" s="50" t="inlineStr">
        <is>
          <t>-</t>
        </is>
      </c>
      <c r="F108" s="99" t="inlineStr">
        <is>
          <t>エラーが発生した場合、ロールバックされること。</t>
        </is>
      </c>
      <c r="G108" s="60" t="n"/>
      <c r="H108" s="99" t="n"/>
      <c r="I108" s="99" t="n"/>
      <c r="J108" s="82" t="n"/>
      <c r="K108" s="82" t="n"/>
      <c r="L108" s="44" t="n"/>
      <c r="M108" s="82" t="n"/>
      <c r="N108" s="82" t="n"/>
      <c r="O108" s="82" t="n"/>
      <c r="P108" s="82" t="n"/>
      <c r="Q108" s="82" t="n"/>
    </row>
    <row r="109" ht="22" customHeight="1">
      <c r="A109" s="38">
        <f t="array" ref="A109">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_xlpm.テスト内容数（テスト内容が空の場合は1）, IF(_xlpm.テスト内容数=0,1,_xlpm.テスト内容数),
_xlpm.詳細項目数&amp;"-"&amp;_xlpm.観点数&amp;"-"&amp;_xlpm.テスト内容数（テスト内容が空の場合は1）
)</f>
        <v/>
      </c>
      <c r="B109" s="48" t="n"/>
      <c r="C109" s="41" t="inlineStr">
        <is>
          <t>コミット</t>
        </is>
      </c>
      <c r="D109" s="41" t="inlineStr">
        <is>
          <t>-</t>
        </is>
      </c>
      <c r="E109" s="41" t="inlineStr">
        <is>
          <t>-</t>
        </is>
      </c>
      <c r="F109" s="99" t="inlineStr">
        <is>
          <t>コミットタイミングが［方式設計書の記載通り］であること。</t>
        </is>
      </c>
      <c r="G109" s="60" t="n"/>
      <c r="H109" s="99" t="n"/>
      <c r="I109" s="99" t="n"/>
      <c r="J109" s="82" t="n"/>
      <c r="K109" s="82" t="n"/>
      <c r="L109" s="44" t="n"/>
      <c r="M109" s="82" t="n"/>
      <c r="N109" s="82" t="n"/>
      <c r="O109" s="82" t="n"/>
      <c r="P109" s="82" t="n"/>
      <c r="Q109" s="82" t="n"/>
    </row>
    <row r="110" ht="22" customHeight="1">
      <c r="A110" s="38">
        <f t="array" ref="A110">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_xlpm.テスト内容数（テスト内容が空の場合は1）, IF(_xlpm.テスト内容数=0,1,_xlpm.テスト内容数),
_xlpm.詳細項目数&amp;"-"&amp;_xlpm.観点数&amp;"-"&amp;_xlpm.テスト内容数（テスト内容が空の場合は1）
)</f>
        <v/>
      </c>
      <c r="B110" s="57" t="n"/>
      <c r="C110" s="50" t="n"/>
      <c r="D110" s="50" t="n"/>
      <c r="E110" s="50" t="n"/>
      <c r="F110" s="99" t="inlineStr">
        <is>
          <t>コミットの単位が［方式設計書の記載通り］であること。</t>
        </is>
      </c>
      <c r="G110" s="60" t="n"/>
      <c r="H110" s="99" t="n"/>
      <c r="I110" s="99" t="n"/>
      <c r="J110" s="82" t="n"/>
      <c r="K110" s="82" t="n"/>
      <c r="L110" s="44" t="n"/>
      <c r="M110" s="82" t="n"/>
      <c r="N110" s="82" t="n"/>
      <c r="O110" s="82" t="n"/>
      <c r="P110" s="82" t="n"/>
      <c r="Q110" s="82" t="n"/>
    </row>
    <row r="111" ht="22" customHeight="1">
      <c r="A111" s="38">
        <f t="array" ref="A11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_xlpm.テスト内容数（テスト内容が空の場合は1）, IF(_xlpm.テスト内容数=0,1,_xlpm.テスト内容数),
_xlpm.詳細項目数&amp;"-"&amp;_xlpm.観点数&amp;"-"&amp;_xlpm.テスト内容数（テスト内容が空の場合は1）
)</f>
        <v/>
      </c>
      <c r="B111" s="39" t="inlineStr">
        <is>
          <t>ファイル取込</t>
        </is>
      </c>
      <c r="C111" s="40" t="inlineStr">
        <is>
          <t>実行結果</t>
        </is>
      </c>
      <c r="D111" s="40" t="inlineStr">
        <is>
          <t>-</t>
        </is>
      </c>
      <c r="E111" s="39" t="inlineStr">
        <is>
          <t>-</t>
        </is>
      </c>
      <c r="F111" s="99" t="inlineStr">
        <is>
          <t>取り込まれたファイルの格納先が［システム機能設計書/共通コンポーネント設計書の記載通り］であること。</t>
        </is>
      </c>
      <c r="G111" s="99" t="n"/>
      <c r="H111" s="99" t="n"/>
      <c r="I111" s="99" t="n"/>
      <c r="J111" s="82" t="n"/>
      <c r="K111" s="82" t="n"/>
      <c r="L111" s="82" t="n"/>
      <c r="M111" s="82" t="n"/>
      <c r="N111" s="82" t="n"/>
      <c r="O111" s="82" t="n"/>
      <c r="P111" s="82" t="n"/>
      <c r="Q111" s="82" t="n"/>
    </row>
    <row r="112" ht="22" customHeight="1">
      <c r="A112" s="38">
        <f t="array" ref="A112">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_xlpm.テスト内容数（テスト内容が空の場合は1）, IF(_xlpm.テスト内容数=0,1,_xlpm.テスト内容数),
_xlpm.詳細項目数&amp;"-"&amp;_xlpm.観点数&amp;"-"&amp;_xlpm.テスト内容数（テスト内容が空の場合は1）
)</f>
        <v/>
      </c>
      <c r="B112" s="41" t="inlineStr">
        <is>
          <t>※ファイルアップロードを含む</t>
        </is>
      </c>
      <c r="C112" s="52" t="n"/>
      <c r="D112" s="41" t="n"/>
      <c r="E112" s="58" t="n"/>
      <c r="F112" s="99" t="inlineStr">
        <is>
          <t>取り込まれたファイルが、指定のファイル名で格納されること。</t>
        </is>
      </c>
      <c r="G112" s="99" t="n"/>
      <c r="H112" s="99" t="n"/>
      <c r="I112" s="99" t="n"/>
      <c r="J112" s="82" t="n"/>
      <c r="K112" s="82" t="n"/>
      <c r="L112" s="82" t="n"/>
      <c r="M112" s="82" t="n"/>
      <c r="N112" s="82" t="n"/>
      <c r="O112" s="82" t="n"/>
      <c r="P112" s="82" t="n"/>
      <c r="Q112" s="82" t="n"/>
    </row>
    <row r="113" ht="22" customHeight="1">
      <c r="A113" s="38">
        <f t="array" ref="A113">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_xlpm.テスト内容数（テスト内容が空の場合は1）, IF(_xlpm.テスト内容数=0,1,_xlpm.テスト内容数),
_xlpm.詳細項目数&amp;"-"&amp;_xlpm.観点数&amp;"-"&amp;_xlpm.テスト内容数（テスト内容が空の場合は1）
)</f>
        <v/>
      </c>
      <c r="B113" s="285" t="n"/>
      <c r="C113" s="52" t="n"/>
      <c r="D113" s="41" t="n"/>
      <c r="E113" s="58" t="n"/>
      <c r="F113" s="99" t="inlineStr">
        <is>
          <t>取り込まれたファイルのアクセス権限が［システム機能設計書/共通コンポーネント設計書の記載通り］であること。</t>
        </is>
      </c>
      <c r="G113" s="99" t="n"/>
      <c r="H113" s="99" t="n"/>
      <c r="I113" s="99" t="n"/>
      <c r="J113" s="82" t="n"/>
      <c r="K113" s="82" t="n"/>
      <c r="L113" s="82" t="n"/>
      <c r="M113" s="82" t="n"/>
      <c r="N113" s="82" t="n"/>
      <c r="O113" s="82" t="n"/>
      <c r="P113" s="82" t="n"/>
      <c r="Q113" s="82" t="n"/>
    </row>
    <row r="114" ht="22" customHeight="1">
      <c r="A114" s="38">
        <f t="array" ref="A114">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_xlpm.テスト内容数（テスト内容が空の場合は1）, IF(_xlpm.テスト内容数=0,1,_xlpm.テスト内容数),
_xlpm.詳細項目数&amp;"-"&amp;_xlpm.観点数&amp;"-"&amp;_xlpm.テスト内容数（テスト内容が空の場合は1）
)</f>
        <v/>
      </c>
      <c r="B114" s="58" t="n"/>
      <c r="C114" s="52" t="n"/>
      <c r="D114" s="41" t="n"/>
      <c r="E114" s="50" t="n"/>
      <c r="F114" s="99" t="inlineStr">
        <is>
          <t>取り込まれたファイルの所有権が［システム機能設計書/共通コンポーネント設計書の記載通り］であること。</t>
        </is>
      </c>
      <c r="G114" s="99" t="n"/>
      <c r="H114" s="99" t="n"/>
      <c r="I114" s="99" t="n"/>
      <c r="J114" s="82" t="n"/>
      <c r="K114" s="82" t="n"/>
      <c r="L114" s="82" t="n"/>
      <c r="M114" s="82" t="n"/>
      <c r="N114" s="82" t="n"/>
      <c r="O114" s="82" t="n"/>
      <c r="P114" s="82" t="n"/>
      <c r="Q114" s="82" t="n"/>
    </row>
    <row r="115" ht="22" customHeight="1">
      <c r="A115" s="38">
        <f t="array" ref="A115">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_xlpm.テスト内容数（テスト内容が空の場合は1）, IF(_xlpm.テスト内容数=0,1,_xlpm.テスト内容数),
_xlpm.詳細項目数&amp;"-"&amp;_xlpm.観点数&amp;"-"&amp;_xlpm.テスト内容数（テスト内容が空の場合は1）
)</f>
        <v/>
      </c>
      <c r="B115" s="58" t="n"/>
      <c r="C115" s="52" t="n"/>
      <c r="D115" s="41" t="n"/>
      <c r="E115" s="41" t="inlineStr">
        <is>
          <t>桁数</t>
        </is>
      </c>
      <c r="F115" s="99" t="inlineStr">
        <is>
          <t>取り込まれたファイルに含まれるレコードの長さが最大長の場合、エラーとならないこと。</t>
        </is>
      </c>
      <c r="G115" s="99" t="n"/>
      <c r="H115" s="99" t="n"/>
      <c r="I115" s="99" t="n"/>
      <c r="J115" s="82" t="n"/>
      <c r="K115" s="82" t="n"/>
      <c r="L115" s="82" t="n"/>
      <c r="M115" s="82" t="n"/>
      <c r="N115" s="82" t="n"/>
      <c r="O115" s="82" t="n"/>
      <c r="P115" s="82" t="n"/>
      <c r="Q115" s="82" t="n"/>
    </row>
    <row r="116" ht="22" customHeight="1">
      <c r="A116" s="38">
        <f t="array" ref="A116">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_xlpm.テスト内容数（テスト内容が空の場合は1）, IF(_xlpm.テスト内容数=0,1,_xlpm.テスト内容数),
_xlpm.詳細項目数&amp;"-"&amp;_xlpm.観点数&amp;"-"&amp;_xlpm.テスト内容数（テスト内容が空の場合は1）
)</f>
        <v/>
      </c>
      <c r="B116" s="58" t="n"/>
      <c r="C116" s="52" t="n"/>
      <c r="D116" s="41" t="n"/>
      <c r="E116" s="41" t="n"/>
      <c r="F116" s="99" t="inlineStr">
        <is>
          <t>取り込まれたファイルに含まれるレコードの長さが最大長＋1の場合、エラーとなること。</t>
        </is>
      </c>
      <c r="G116" s="99" t="n"/>
      <c r="H116" s="99" t="n"/>
      <c r="I116" s="99" t="n"/>
      <c r="J116" s="82" t="n"/>
      <c r="K116" s="82" t="n"/>
      <c r="L116" s="82" t="n"/>
      <c r="M116" s="82" t="n"/>
      <c r="N116" s="82" t="n"/>
      <c r="O116" s="82" t="n"/>
      <c r="P116" s="82" t="n"/>
      <c r="Q116" s="82" t="n"/>
    </row>
    <row r="117" ht="22" customHeight="1">
      <c r="A117" s="38">
        <f t="array" ref="A117">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_xlpm.テスト内容数（テスト内容が空の場合は1）, IF(_xlpm.テスト内容数=0,1,_xlpm.テスト内容数),
_xlpm.詳細項目数&amp;"-"&amp;_xlpm.観点数&amp;"-"&amp;_xlpm.テスト内容数（テスト内容が空の場合は1）
)</f>
        <v/>
      </c>
      <c r="B117" s="58" t="n"/>
      <c r="C117" s="52" t="n"/>
      <c r="D117" s="41" t="n"/>
      <c r="E117" s="41" t="n"/>
      <c r="F117" s="99" t="inlineStr">
        <is>
          <t>取り込まれたファイルに含まれるレコードの長さが最小長の場合、エラーとならないこと。</t>
        </is>
      </c>
      <c r="G117" s="99" t="n"/>
      <c r="H117" s="99" t="n"/>
      <c r="I117" s="99" t="n"/>
      <c r="J117" s="82" t="n"/>
      <c r="K117" s="82" t="n"/>
      <c r="L117" s="82" t="n"/>
      <c r="M117" s="82" t="n"/>
      <c r="N117" s="82" t="n"/>
      <c r="O117" s="82" t="n"/>
      <c r="P117" s="82" t="n"/>
      <c r="Q117" s="82" t="n"/>
    </row>
    <row r="118" ht="22" customHeight="1">
      <c r="A118" s="38">
        <f t="array" ref="A118">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_xlpm.テスト内容数（テスト内容が空の場合は1）, IF(_xlpm.テスト内容数=0,1,_xlpm.テスト内容数),
_xlpm.詳細項目数&amp;"-"&amp;_xlpm.観点数&amp;"-"&amp;_xlpm.テスト内容数（テスト内容が空の場合は1）
)</f>
        <v/>
      </c>
      <c r="B118" s="58" t="n"/>
      <c r="C118" s="52" t="n"/>
      <c r="D118" s="41" t="n"/>
      <c r="E118" s="41" t="n"/>
      <c r="F118" s="99" t="inlineStr">
        <is>
          <t>取り込まれたファイルに含まれるレコードの長さが最小長-1の場合、エラーとなること。</t>
        </is>
      </c>
      <c r="G118" s="99" t="n"/>
      <c r="H118" s="99" t="n"/>
      <c r="I118" s="99" t="n"/>
      <c r="J118" s="82" t="n"/>
      <c r="K118" s="82" t="n"/>
      <c r="L118" s="82" t="n"/>
      <c r="M118" s="82" t="n"/>
      <c r="N118" s="82" t="n"/>
      <c r="O118" s="82" t="n"/>
      <c r="P118" s="82" t="n"/>
      <c r="Q118" s="82" t="n"/>
    </row>
    <row r="119" ht="33" customHeight="1">
      <c r="A119" s="38">
        <f t="array" ref="A119">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_xlpm.テスト内容数（テスト内容が空の場合は1）, IF(_xlpm.テスト内容数=0,1,_xlpm.テスト内容数),
_xlpm.詳細項目数&amp;"-"&amp;_xlpm.観点数&amp;"-"&amp;_xlpm.テスト内容数（テスト内容が空の場合は1）
)</f>
        <v/>
      </c>
      <c r="B119" s="58" t="n"/>
      <c r="C119" s="52" t="n"/>
      <c r="D119" s="41" t="n"/>
      <c r="E119" s="50" t="n"/>
      <c r="F119" s="99" t="inlineStr">
        <is>
          <t>サロゲートペア文字を許容する設計となっている場合、サロゲートペア文字を含むレコードを取り込んだ結果がエラーとならないこと。</t>
        </is>
      </c>
      <c r="G119" s="99" t="n"/>
      <c r="H119" s="99" t="n"/>
      <c r="I119" s="99" t="n"/>
      <c r="J119" s="82" t="n"/>
      <c r="K119" s="82" t="n"/>
      <c r="L119" s="82" t="n"/>
      <c r="M119" s="82" t="n"/>
      <c r="N119" s="82" t="n"/>
      <c r="O119" s="82" t="n"/>
      <c r="P119" s="82" t="n"/>
      <c r="Q119" s="82" t="n"/>
    </row>
    <row r="120" ht="33" customHeight="1">
      <c r="A120" s="38">
        <f t="array" ref="A120">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_xlpm.テスト内容数（テスト内容が空の場合は1）, IF(_xlpm.テスト内容数=0,1,_xlpm.テスト内容数),
_xlpm.詳細項目数&amp;"-"&amp;_xlpm.観点数&amp;"-"&amp;_xlpm.テスト内容数（テスト内容が空の場合は1）
)</f>
        <v/>
      </c>
      <c r="B120" s="58" t="n"/>
      <c r="C120" s="52" t="n"/>
      <c r="D120" s="41" t="n"/>
      <c r="E120" s="41" t="inlineStr">
        <is>
          <t>レコード件数</t>
        </is>
      </c>
      <c r="F120" s="99" t="inlineStr">
        <is>
          <t>取り込まれたファイルのレコード件数が複数の場合、［システム機能設計書/共通コンポーネント設計書の記載通りの挙動］となること。</t>
        </is>
      </c>
      <c r="G120" s="99" t="n"/>
      <c r="H120" s="99" t="n"/>
      <c r="I120" s="99" t="n"/>
      <c r="J120" s="82" t="n"/>
      <c r="K120" s="82" t="n"/>
      <c r="L120" s="82" t="n"/>
      <c r="M120" s="82" t="n"/>
      <c r="N120" s="82" t="n"/>
      <c r="O120" s="82" t="n"/>
      <c r="P120" s="82" t="n"/>
      <c r="Q120" s="82" t="n"/>
    </row>
    <row r="121" ht="33" customHeight="1">
      <c r="A121" s="38">
        <f t="array" ref="A12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_xlpm.テスト内容数（テスト内容が空の場合は1）, IF(_xlpm.テスト内容数=0,1,_xlpm.テスト内容数),
_xlpm.詳細項目数&amp;"-"&amp;_xlpm.観点数&amp;"-"&amp;_xlpm.テスト内容数（テスト内容が空の場合は1）
)</f>
        <v/>
      </c>
      <c r="B121" s="58" t="n"/>
      <c r="C121" s="52" t="n"/>
      <c r="D121" s="41" t="n"/>
      <c r="E121" s="41" t="n"/>
      <c r="F121" s="99" t="inlineStr">
        <is>
          <t>取り込まれたファイルのレコードが0件（空ファイル）の場合、［システム機能設計書/共通コンポーネント設計書の記載通りの挙動］となること。</t>
        </is>
      </c>
      <c r="G121" s="99" t="n"/>
      <c r="H121" s="99" t="n"/>
      <c r="I121" s="99" t="n"/>
      <c r="J121" s="82" t="n"/>
      <c r="K121" s="82" t="n"/>
      <c r="L121" s="82" t="n"/>
      <c r="M121" s="82" t="n"/>
      <c r="N121" s="82" t="n"/>
      <c r="O121" s="82" t="n"/>
      <c r="P121" s="82" t="n"/>
      <c r="Q121" s="82" t="n"/>
    </row>
    <row r="122" ht="44" customHeight="1">
      <c r="A122" s="38">
        <f t="array" ref="A122">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_xlpm.テスト内容数（テスト内容が空の場合は1）, IF(_xlpm.テスト内容数=0,1,_xlpm.テスト内容数),
_xlpm.詳細項目数&amp;"-"&amp;_xlpm.観点数&amp;"-"&amp;_xlpm.テスト内容数（テスト内容が空の場合は1）
)</f>
        <v/>
      </c>
      <c r="B122" s="58" t="n"/>
      <c r="C122" s="52" t="n"/>
      <c r="D122" s="41" t="n"/>
      <c r="E122" s="41" t="n"/>
      <c r="F122" s="99" t="inlineStr">
        <is>
          <t>取り込まれたファイルがマルチレイアウトの場合、同一レコード種類のレコードが複数件存在する時の処理が［システム機能設計書/共通コンポーネント設計書の記載通りの挙動］であること。</t>
        </is>
      </c>
      <c r="G122" s="99" t="n"/>
      <c r="H122" s="99" t="n"/>
      <c r="I122" s="99" t="n"/>
      <c r="J122" s="82" t="n"/>
      <c r="K122" s="82" t="n"/>
      <c r="L122" s="82" t="n"/>
      <c r="M122" s="82" t="n"/>
      <c r="N122" s="82" t="n"/>
      <c r="O122" s="82" t="n"/>
      <c r="P122" s="82" t="n"/>
      <c r="Q122" s="82" t="n"/>
    </row>
    <row r="123" ht="44" customHeight="1">
      <c r="A123" s="38">
        <f t="array" ref="A123">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_xlpm.テスト内容数（テスト内容が空の場合は1）, IF(_xlpm.テスト内容数=0,1,_xlpm.テスト内容数),
_xlpm.詳細項目数&amp;"-"&amp;_xlpm.観点数&amp;"-"&amp;_xlpm.テスト内容数（テスト内容が空の場合は1）
)</f>
        <v/>
      </c>
      <c r="B123" s="58" t="n"/>
      <c r="C123" s="52" t="n"/>
      <c r="D123" s="41" t="n"/>
      <c r="E123" s="41" t="n"/>
      <c r="F123" s="99" t="inlineStr">
        <is>
          <t>取り込まれたファイルがマルチレイアウトの場合、レコード種類のうちデータレコードにあたる件数が0件の時、［システム機能設計書/共通コンポーネント設計書の記載通りの挙動］であること。</t>
        </is>
      </c>
      <c r="G123" s="99" t="n"/>
      <c r="H123" s="99" t="n"/>
      <c r="I123" s="99" t="n"/>
      <c r="J123" s="82" t="n"/>
      <c r="K123" s="82" t="n"/>
      <c r="L123" s="82" t="n"/>
      <c r="M123" s="82" t="n"/>
      <c r="N123" s="82" t="n"/>
      <c r="O123" s="82" t="n"/>
      <c r="P123" s="82" t="n"/>
      <c r="Q123" s="82" t="n"/>
    </row>
    <row r="124" ht="33" customHeight="1">
      <c r="A124" s="38">
        <f t="array" ref="A124">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_xlpm.テスト内容数（テスト内容が空の場合は1）, IF(_xlpm.テスト内容数=0,1,_xlpm.テスト内容数),
_xlpm.詳細項目数&amp;"-"&amp;_xlpm.観点数&amp;"-"&amp;_xlpm.テスト内容数（テスト内容が空の場合は1）
)</f>
        <v/>
      </c>
      <c r="B124" s="58" t="n"/>
      <c r="C124" s="52" t="n"/>
      <c r="D124" s="41" t="n"/>
      <c r="E124" s="50" t="n"/>
      <c r="F124" s="99" t="inlineStr">
        <is>
          <t>取り込まれたファイルがマルチレイアウトの場合、全レコード種類が含まれる時の処理が［システム機能設計書/共通コンポーネント設計書の記載通りの挙動］であること。</t>
        </is>
      </c>
      <c r="G124" s="99" t="n"/>
      <c r="H124" s="99" t="n"/>
      <c r="I124" s="99" t="n"/>
      <c r="J124" s="82" t="n"/>
      <c r="K124" s="82" t="n"/>
      <c r="L124" s="82" t="n"/>
      <c r="M124" s="82" t="n"/>
      <c r="N124" s="82" t="n"/>
      <c r="O124" s="82" t="n"/>
      <c r="P124" s="82" t="n"/>
      <c r="Q124" s="82" t="n"/>
    </row>
    <row r="125" ht="33" customHeight="1">
      <c r="A125" s="38">
        <f t="array" ref="A125">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_xlpm.テスト内容数（テスト内容が空の場合は1）, IF(_xlpm.テスト内容数=0,1,_xlpm.テスト内容数),
_xlpm.詳細項目数&amp;"-"&amp;_xlpm.観点数&amp;"-"&amp;_xlpm.テスト内容数（テスト内容が空の場合は1）
)</f>
        <v/>
      </c>
      <c r="B125" s="58" t="n"/>
      <c r="C125" s="52" t="n"/>
      <c r="D125" s="50" t="n"/>
      <c r="E125" s="50" t="inlineStr">
        <is>
          <t>インターフェース仕様</t>
        </is>
      </c>
      <c r="F125" s="99" t="inlineStr">
        <is>
          <t>インターフェース仕様が設計と異なるファイルを取り込んだ場合、実行結果が［方式設計書の記載通り］となること。</t>
        </is>
      </c>
      <c r="G125" s="99" t="n"/>
      <c r="H125" s="99" t="n"/>
      <c r="I125" s="99" t="n"/>
      <c r="J125" s="82" t="n"/>
      <c r="K125" s="82" t="n"/>
      <c r="L125" s="82" t="n"/>
      <c r="M125" s="82" t="n"/>
      <c r="N125" s="82" t="n"/>
      <c r="O125" s="82" t="n"/>
      <c r="P125" s="82" t="n"/>
      <c r="Q125" s="82" t="n"/>
    </row>
    <row r="126" ht="33" customHeight="1">
      <c r="A126" s="38">
        <f t="array" ref="A126">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_xlpm.テスト内容数（テスト内容が空の場合は1）, IF(_xlpm.テスト内容数=0,1,_xlpm.テスト内容数),
_xlpm.詳細項目数&amp;"-"&amp;_xlpm.観点数&amp;"-"&amp;_xlpm.テスト内容数（テスト内容が空の場合は1）
)</f>
        <v/>
      </c>
      <c r="B126" s="58" t="n"/>
      <c r="C126" s="49" t="n"/>
      <c r="D126" s="50" t="inlineStr">
        <is>
          <t>エラー</t>
        </is>
      </c>
      <c r="E126" s="50" t="inlineStr">
        <is>
          <t>-</t>
        </is>
      </c>
      <c r="F126" s="99" t="inlineStr">
        <is>
          <t>エラーが発生した場合、取込対象のファイルの状態が［システム機能設計書/共通コンポーネント設計書の記載通り］であること。</t>
        </is>
      </c>
      <c r="G126" s="99" t="n"/>
      <c r="H126" s="99" t="n"/>
      <c r="I126" s="99" t="n"/>
      <c r="J126" s="82" t="n"/>
      <c r="K126" s="82" t="n"/>
      <c r="L126" s="82" t="n"/>
      <c r="M126" s="82" t="n"/>
      <c r="N126" s="82" t="n"/>
      <c r="O126" s="82" t="n"/>
      <c r="P126" s="82" t="n"/>
      <c r="Q126" s="82" t="n"/>
    </row>
    <row r="127" ht="33" customHeight="1">
      <c r="A127" s="38">
        <f t="array" ref="A127">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_xlpm.テスト内容数（テスト内容が空の場合は1）, IF(_xlpm.テスト内容数=0,1,_xlpm.テスト内容数),
_xlpm.詳細項目数&amp;"-"&amp;_xlpm.観点数&amp;"-"&amp;_xlpm.テスト内容数（テスト内容が空の場合は1）
)</f>
        <v/>
      </c>
      <c r="B127" s="58" t="n"/>
      <c r="C127" s="41" t="inlineStr">
        <is>
          <t>バリデーション</t>
        </is>
      </c>
      <c r="D127" s="41" t="inlineStr">
        <is>
          <t>フォーマット定義</t>
        </is>
      </c>
      <c r="E127" s="99" t="inlineStr">
        <is>
          <t>レコード構成</t>
        </is>
      </c>
      <c r="F127" s="99" t="inlineStr">
        <is>
          <t>取り込まれたファイルがマルチレイアウトの場合、全レコード種類の構成が［外部インターフェース設計書/サブシステムインターフェース設計書の記載通り］であること。</t>
        </is>
      </c>
      <c r="G127" s="99" t="n"/>
      <c r="H127" s="99" t="n"/>
      <c r="I127" s="99" t="n"/>
      <c r="J127" s="82" t="n"/>
      <c r="K127" s="82" t="n"/>
      <c r="L127" s="82" t="n"/>
      <c r="M127" s="82" t="n"/>
      <c r="N127" s="82" t="n"/>
      <c r="O127" s="82" t="n"/>
      <c r="P127" s="82" t="n"/>
      <c r="Q127" s="82" t="n"/>
    </row>
    <row r="128" ht="22" customHeight="1">
      <c r="A128" s="38">
        <f t="array" ref="A128">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_xlpm.テスト内容数（テスト内容が空の場合は1）, IF(_xlpm.テスト内容数=0,1,_xlpm.テスト内容数),
_xlpm.詳細項目数&amp;"-"&amp;_xlpm.観点数&amp;"-"&amp;_xlpm.テスト内容数（テスト内容が空の場合は1）
)</f>
        <v/>
      </c>
      <c r="B128" s="58" t="n"/>
      <c r="C128" s="41" t="n"/>
      <c r="D128" s="41" t="n"/>
      <c r="E128" s="41" t="inlineStr">
        <is>
          <t>ファイルサイズ</t>
        </is>
      </c>
      <c r="F128" s="99" t="inlineStr">
        <is>
          <t>取り込まれたファイルのサイズをバリデーションする場合、有効なサイズのファイルがエラーとならないこと。</t>
        </is>
      </c>
      <c r="G128" s="99" t="n"/>
      <c r="H128" s="99" t="n"/>
      <c r="I128" s="99" t="n"/>
      <c r="J128" s="82" t="n"/>
      <c r="K128" s="82" t="n"/>
      <c r="L128" s="82" t="n"/>
      <c r="M128" s="82" t="n"/>
      <c r="N128" s="82" t="n"/>
      <c r="O128" s="82" t="n"/>
      <c r="P128" s="82" t="n"/>
      <c r="Q128" s="82" t="n"/>
    </row>
    <row r="129" ht="22" customHeight="1">
      <c r="A129" s="38">
        <f t="array" ref="A129">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_xlpm.テスト内容数（テスト内容が空の場合は1）, IF(_xlpm.テスト内容数=0,1,_xlpm.テスト内容数),
_xlpm.詳細項目数&amp;"-"&amp;_xlpm.観点数&amp;"-"&amp;_xlpm.テスト内容数（テスト内容が空の場合は1）
)</f>
        <v/>
      </c>
      <c r="B129" s="58" t="n"/>
      <c r="C129" s="41" t="n"/>
      <c r="D129" s="41" t="n"/>
      <c r="E129" s="41" t="n"/>
      <c r="F129" s="99" t="inlineStr">
        <is>
          <t>取り込まれたファイルのサイズバリデーションする場合、無効なサイズのファイルがエラーとなること。</t>
        </is>
      </c>
      <c r="G129" s="99" t="n"/>
      <c r="H129" s="99" t="n"/>
      <c r="I129" s="99" t="n"/>
      <c r="J129" s="82" t="n"/>
      <c r="K129" s="82" t="n"/>
      <c r="L129" s="82" t="n"/>
      <c r="M129" s="82" t="n"/>
      <c r="N129" s="82" t="n"/>
      <c r="O129" s="82" t="n"/>
      <c r="P129" s="82" t="n"/>
      <c r="Q129" s="82" t="n"/>
    </row>
    <row r="130" ht="44" customHeight="1">
      <c r="A130" s="38">
        <f t="array" ref="A130">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_xlpm.テスト内容数（テスト内容が空の場合は1）, IF(_xlpm.テスト内容数=0,1,_xlpm.テスト内容数),
_xlpm.詳細項目数&amp;"-"&amp;_xlpm.観点数&amp;"-"&amp;_xlpm.テスト内容数（テスト内容が空の場合は1）
)</f>
        <v/>
      </c>
      <c r="B130" s="286" t="n"/>
      <c r="C130" s="50" t="n"/>
      <c r="D130" s="50" t="n"/>
      <c r="E130" s="50" t="n"/>
      <c r="F130" s="99" t="inlineStr">
        <is>
          <t>取り込まれたファイルのサイズをバリデーションしない場合、想定以上のサイズのファイル取込結果が［システム機能設計書/共通コンポーネント設計書の記載通り］であること。</t>
        </is>
      </c>
      <c r="G130" s="99" t="n"/>
      <c r="H130" s="99" t="n"/>
      <c r="I130" s="99" t="n"/>
      <c r="J130" s="82" t="n"/>
      <c r="K130" s="82" t="n"/>
      <c r="L130" s="82" t="n"/>
      <c r="M130" s="82" t="n"/>
      <c r="N130" s="82" t="n"/>
      <c r="O130" s="82" t="n"/>
      <c r="P130" s="82" t="n"/>
      <c r="Q130" s="82" t="n"/>
    </row>
    <row r="131" ht="22" customHeight="1">
      <c r="A131" s="38">
        <f t="array" ref="A13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_xlpm.テスト内容数（テスト内容が空の場合は1）, IF(_xlpm.テスト内容数=0,1,_xlpm.テスト内容数),
_xlpm.詳細項目数&amp;"-"&amp;_xlpm.観点数&amp;"-"&amp;_xlpm.テスト内容数（テスト内容が空の場合は1）
)</f>
        <v/>
      </c>
      <c r="B131" s="39" t="inlineStr">
        <is>
          <t>ファイル出力</t>
        </is>
      </c>
      <c r="C131" s="40" t="inlineStr">
        <is>
          <t>実行結果</t>
        </is>
      </c>
      <c r="D131" s="40" t="inlineStr">
        <is>
          <t>-</t>
        </is>
      </c>
      <c r="E131" s="39" t="inlineStr">
        <is>
          <t>-</t>
        </is>
      </c>
      <c r="F131" s="99" t="inlineStr">
        <is>
          <t>出力したファイルが、指定したディレクトリに格納されること。</t>
        </is>
      </c>
      <c r="G131" s="99" t="n"/>
      <c r="H131" s="99" t="n"/>
      <c r="I131" s="99" t="n"/>
      <c r="J131" s="82" t="n"/>
      <c r="K131" s="82" t="n"/>
      <c r="L131" s="82" t="n"/>
      <c r="M131" s="82" t="n"/>
      <c r="N131" s="82" t="n"/>
      <c r="O131" s="82" t="n"/>
      <c r="P131" s="82" t="n"/>
      <c r="Q131" s="82" t="n"/>
    </row>
    <row r="132" ht="22" customHeight="1">
      <c r="A132" s="38">
        <f t="array" ref="A132">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_xlpm.テスト内容数（テスト内容が空の場合は1）, IF(_xlpm.テスト内容数=0,1,_xlpm.テスト内容数),
_xlpm.詳細項目数&amp;"-"&amp;_xlpm.観点数&amp;"-"&amp;_xlpm.テスト内容数（テスト内容が空の場合は1）
)</f>
        <v/>
      </c>
      <c r="B132" s="41" t="inlineStr">
        <is>
          <t>※ファイルダウンロードを含む</t>
        </is>
      </c>
      <c r="C132" s="52" t="n"/>
      <c r="D132" s="41" t="n"/>
      <c r="E132" s="41" t="n"/>
      <c r="F132" s="99" t="inlineStr">
        <is>
          <t>出力したファイルが、指定したファイル名で格納されること。</t>
        </is>
      </c>
      <c r="G132" s="99" t="n"/>
      <c r="H132" s="99" t="n"/>
      <c r="I132" s="99" t="n"/>
      <c r="J132" s="82" t="n"/>
      <c r="K132" s="82" t="n"/>
      <c r="L132" s="82" t="n"/>
      <c r="M132" s="82" t="n"/>
      <c r="N132" s="82" t="n"/>
      <c r="O132" s="82" t="n"/>
      <c r="P132" s="82" t="n"/>
      <c r="Q132" s="82" t="n"/>
    </row>
    <row r="133" ht="22" customHeight="1">
      <c r="A133" s="38">
        <f t="array" ref="A133">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_xlpm.テスト内容数（テスト内容が空の場合は1）, IF(_xlpm.テスト内容数=0,1,_xlpm.テスト内容数),
_xlpm.詳細項目数&amp;"-"&amp;_xlpm.観点数&amp;"-"&amp;_xlpm.テスト内容数（テスト内容が空の場合は1）
)</f>
        <v/>
      </c>
      <c r="B133" s="285" t="n"/>
      <c r="C133" s="52" t="n"/>
      <c r="D133" s="41" t="n"/>
      <c r="E133" s="41" t="n"/>
      <c r="F133" s="99" t="inlineStr">
        <is>
          <t>出力したファイルのアクセス権限が［システム機能設計書/共通コンポーネント設計書の記載通り］であること。</t>
        </is>
      </c>
      <c r="G133" s="99" t="n"/>
      <c r="H133" s="99" t="n"/>
      <c r="I133" s="99" t="n"/>
      <c r="J133" s="82" t="n"/>
      <c r="K133" s="82" t="n"/>
      <c r="L133" s="82" t="n"/>
      <c r="M133" s="82" t="n"/>
      <c r="N133" s="82" t="n"/>
      <c r="O133" s="82" t="n"/>
      <c r="P133" s="82" t="n"/>
      <c r="Q133" s="82" t="n"/>
    </row>
    <row r="134" ht="22" customHeight="1">
      <c r="A134" s="38">
        <f t="array" ref="A134">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_xlpm.テスト内容数（テスト内容が空の場合は1）, IF(_xlpm.テスト内容数=0,1,_xlpm.テスト内容数),
_xlpm.詳細項目数&amp;"-"&amp;_xlpm.観点数&amp;"-"&amp;_xlpm.テスト内容数（テスト内容が空の場合は1）
)</f>
        <v/>
      </c>
      <c r="B134" s="58" t="n"/>
      <c r="C134" s="52" t="n"/>
      <c r="D134" s="41" t="n"/>
      <c r="E134" s="50" t="n"/>
      <c r="F134" s="99" t="inlineStr">
        <is>
          <t>出力したファイルの所有権が［システム機能設計書/共通コンポーネント設計書の記載通り］であること。</t>
        </is>
      </c>
      <c r="G134" s="99" t="n"/>
      <c r="H134" s="99" t="n"/>
      <c r="I134" s="99" t="n"/>
      <c r="J134" s="82" t="n"/>
      <c r="K134" s="82" t="n"/>
      <c r="L134" s="82" t="n"/>
      <c r="M134" s="82" t="n"/>
      <c r="N134" s="82" t="n"/>
      <c r="O134" s="82" t="n"/>
      <c r="P134" s="82" t="n"/>
      <c r="Q134" s="82" t="n"/>
    </row>
    <row r="135" ht="22" customHeight="1">
      <c r="A135" s="38">
        <f t="array" ref="A135">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_xlpm.テスト内容数（テスト内容が空の場合は1）, IF(_xlpm.テスト内容数=0,1,_xlpm.テスト内容数),
_xlpm.詳細項目数&amp;"-"&amp;_xlpm.観点数&amp;"-"&amp;_xlpm.テスト内容数（テスト内容が空の場合は1）
)</f>
        <v/>
      </c>
      <c r="B135" s="58" t="n"/>
      <c r="C135" s="52" t="n"/>
      <c r="D135" s="41" t="n"/>
      <c r="E135" s="41" t="inlineStr">
        <is>
          <t>ファイル名</t>
        </is>
      </c>
      <c r="F135" s="99" t="inlineStr">
        <is>
          <t>ファイル保存先を指定するダイアログボックスにデフォルトファイル名が表示されること。</t>
        </is>
      </c>
      <c r="G135" s="99" t="n"/>
      <c r="H135" s="99" t="n"/>
      <c r="I135" s="99" t="n"/>
      <c r="J135" s="82" t="n"/>
      <c r="K135" s="82" t="n"/>
      <c r="L135" s="82" t="n"/>
      <c r="M135" s="82" t="n"/>
      <c r="N135" s="82" t="n"/>
      <c r="O135" s="82" t="n"/>
      <c r="P135" s="82" t="n"/>
      <c r="Q135" s="82" t="n"/>
    </row>
    <row r="136" ht="33" customHeight="1">
      <c r="A136" s="38">
        <f t="array" ref="A136">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_xlpm.テスト内容数（テスト内容が空の場合は1）, IF(_xlpm.テスト内容数=0,1,_xlpm.テスト内容数),
_xlpm.詳細項目数&amp;"-"&amp;_xlpm.観点数&amp;"-"&amp;_xlpm.テスト内容数（テスト内容が空の場合は1）
)</f>
        <v/>
      </c>
      <c r="B136" s="58" t="n"/>
      <c r="C136" s="52" t="n"/>
      <c r="D136" s="50" t="n"/>
      <c r="E136" s="50" t="n"/>
      <c r="F136" s="99" t="inlineStr">
        <is>
          <t>ダウンロード先ディレクトリに同名ファイルが存在する場合、［システム機能設計書/共通コンポーネント設計書の記載通りの挙動］となること。</t>
        </is>
      </c>
      <c r="G136" s="99" t="n"/>
      <c r="H136" s="99" t="n"/>
      <c r="I136" s="99" t="n"/>
      <c r="J136" s="82" t="n"/>
      <c r="K136" s="82" t="n"/>
      <c r="L136" s="82" t="n"/>
      <c r="M136" s="82" t="n"/>
      <c r="N136" s="82" t="n"/>
      <c r="O136" s="82" t="n"/>
      <c r="P136" s="82" t="n"/>
      <c r="Q136" s="82" t="n"/>
    </row>
    <row r="137" ht="33" customHeight="1">
      <c r="A137" s="38">
        <f t="array" ref="A137">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_xlpm.テスト内容数（テスト内容が空の場合は1）, IF(_xlpm.テスト内容数=0,1,_xlpm.テスト内容数),
_xlpm.詳細項目数&amp;"-"&amp;_xlpm.観点数&amp;"-"&amp;_xlpm.テスト内容数（テスト内容が空の場合は1）
)</f>
        <v/>
      </c>
      <c r="B137" s="58" t="n"/>
      <c r="C137" s="49" t="n"/>
      <c r="D137" s="50" t="inlineStr">
        <is>
          <t>エラー</t>
        </is>
      </c>
      <c r="E137" s="50" t="inlineStr">
        <is>
          <t>-</t>
        </is>
      </c>
      <c r="F137" s="99" t="inlineStr">
        <is>
          <t>エラーが発生した場合、出力対象のファイルの状態が［システム機能設計書/共通コンポーネント設計書の記載通り］であること。</t>
        </is>
      </c>
      <c r="G137" s="99" t="n"/>
      <c r="H137" s="99" t="n"/>
      <c r="I137" s="99" t="n"/>
      <c r="J137" s="82" t="n"/>
      <c r="K137" s="82" t="n"/>
      <c r="L137" s="82" t="n"/>
      <c r="M137" s="82" t="n"/>
      <c r="N137" s="82" t="n"/>
      <c r="O137" s="82" t="n"/>
      <c r="P137" s="82" t="n"/>
      <c r="Q137" s="82" t="n"/>
    </row>
    <row r="138" ht="33" customHeight="1">
      <c r="A138" s="38">
        <f t="array" ref="A138">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_xlpm.テスト内容数（テスト内容が空の場合は1）, IF(_xlpm.テスト内容数=0,1,_xlpm.テスト内容数),
_xlpm.詳細項目数&amp;"-"&amp;_xlpm.観点数&amp;"-"&amp;_xlpm.テスト内容数（テスト内容が空の場合は1）
)</f>
        <v/>
      </c>
      <c r="B138" s="58" t="n"/>
      <c r="C138" s="52" t="inlineStr">
        <is>
          <t>データ出力</t>
        </is>
      </c>
      <c r="D138" s="41" t="inlineStr">
        <is>
          <t>フォーマット定義</t>
        </is>
      </c>
      <c r="E138" s="99" t="inlineStr">
        <is>
          <t>文字コード</t>
        </is>
      </c>
      <c r="F138" s="99" t="inlineStr">
        <is>
          <t>出力したファイルの文字コードが［外部インターフェース設計書/サブシステムインターフェース設計書の記載通り］であること。</t>
        </is>
      </c>
      <c r="G138" s="99" t="n"/>
      <c r="H138" s="99" t="n"/>
      <c r="I138" s="99" t="n"/>
      <c r="J138" s="82" t="n"/>
      <c r="K138" s="82" t="n"/>
      <c r="L138" s="82" t="n"/>
      <c r="M138" s="82" t="n"/>
      <c r="N138" s="82" t="n"/>
      <c r="O138" s="82" t="n"/>
      <c r="P138" s="82" t="n"/>
      <c r="Q138" s="82" t="n"/>
    </row>
    <row r="139" ht="33" customHeight="1">
      <c r="A139" s="38">
        <f t="array" ref="A139">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_xlpm.テスト内容数（テスト内容が空の場合は1）, IF(_xlpm.テスト内容数=0,1,_xlpm.テスト内容数),
_xlpm.詳細項目数&amp;"-"&amp;_xlpm.観点数&amp;"-"&amp;_xlpm.テスト内容数（テスト内容が空の場合は1）
)</f>
        <v/>
      </c>
      <c r="B139" s="58" t="n"/>
      <c r="C139" s="52" t="n"/>
      <c r="D139" s="41" t="n"/>
      <c r="E139" s="99" t="inlineStr">
        <is>
          <t>改行コード</t>
        </is>
      </c>
      <c r="F139" s="99" t="inlineStr">
        <is>
          <t>出力したファイルの改行コードが［外部インターフェース設計書/サブシステムインターフェース設計書の記載通り］であること。</t>
        </is>
      </c>
      <c r="G139" s="99" t="n"/>
      <c r="H139" s="99" t="n"/>
      <c r="I139" s="99" t="n"/>
      <c r="J139" s="82" t="n"/>
      <c r="K139" s="82" t="n"/>
      <c r="L139" s="82" t="n"/>
      <c r="M139" s="82" t="n"/>
      <c r="N139" s="82" t="n"/>
      <c r="O139" s="82" t="n"/>
      <c r="P139" s="82" t="n"/>
      <c r="Q139" s="82" t="n"/>
    </row>
    <row r="140" ht="33" customHeight="1">
      <c r="A140" s="38">
        <f t="array" ref="A140">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_xlpm.テスト内容数（テスト内容が空の場合は1）, IF(_xlpm.テスト内容数=0,1,_xlpm.テスト内容数),
_xlpm.詳細項目数&amp;"-"&amp;_xlpm.観点数&amp;"-"&amp;_xlpm.テスト内容数（テスト内容が空の場合は1）
)</f>
        <v/>
      </c>
      <c r="B140" s="58" t="n"/>
      <c r="C140" s="52" t="n"/>
      <c r="D140" s="41" t="n"/>
      <c r="E140" s="99" t="inlineStr">
        <is>
          <t>区切り文字</t>
        </is>
      </c>
      <c r="F140" s="99" t="inlineStr">
        <is>
          <t>出力したファイルの区切り文字が［外部インターフェース設計書/サブシステムインターフェース設計書の記載通り］であること。</t>
        </is>
      </c>
      <c r="G140" s="99" t="n"/>
      <c r="H140" s="99" t="n"/>
      <c r="I140" s="99" t="n"/>
      <c r="J140" s="82" t="n"/>
      <c r="K140" s="82" t="n"/>
      <c r="L140" s="82" t="n"/>
      <c r="M140" s="82" t="n"/>
      <c r="N140" s="82" t="n"/>
      <c r="O140" s="82" t="n"/>
      <c r="P140" s="82" t="n"/>
      <c r="Q140" s="82" t="n"/>
    </row>
    <row r="141" ht="33" customHeight="1">
      <c r="A141" s="38">
        <f t="array" ref="A14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_xlpm.テスト内容数（テスト内容が空の場合は1）, IF(_xlpm.テスト内容数=0,1,_xlpm.テスト内容数),
_xlpm.詳細項目数&amp;"-"&amp;_xlpm.観点数&amp;"-"&amp;_xlpm.テスト内容数（テスト内容が空の場合は1）
)</f>
        <v/>
      </c>
      <c r="B141" s="58" t="n"/>
      <c r="C141" s="52" t="n"/>
      <c r="D141" s="41" t="n"/>
      <c r="E141" s="99" t="inlineStr">
        <is>
          <t>レコード構成</t>
        </is>
      </c>
      <c r="F141" s="99" t="inlineStr">
        <is>
          <t>出力したファイルがマルチレイアウトの場合、レコード構成が［外部インターフェース設計書/サブシステムインターフェース設計書の記載通り］であること。</t>
        </is>
      </c>
      <c r="G141" s="99" t="n"/>
      <c r="H141" s="99" t="n"/>
      <c r="I141" s="99" t="n"/>
      <c r="J141" s="82" t="n"/>
      <c r="K141" s="82" t="n"/>
      <c r="L141" s="82" t="n"/>
      <c r="M141" s="82" t="n"/>
      <c r="N141" s="82" t="n"/>
      <c r="O141" s="82" t="n"/>
      <c r="P141" s="82" t="n"/>
      <c r="Q141" s="82" t="n"/>
    </row>
    <row r="142" ht="33" customHeight="1">
      <c r="A142" s="38">
        <f t="array" ref="A142">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_xlpm.テスト内容数（テスト内容が空の場合は1）, IF(_xlpm.テスト内容数=0,1,_xlpm.テスト内容数),
_xlpm.詳細項目数&amp;"-"&amp;_xlpm.観点数&amp;"-"&amp;_xlpm.テスト内容数（テスト内容が空の場合は1）
)</f>
        <v/>
      </c>
      <c r="B142" s="58" t="n"/>
      <c r="C142" s="52" t="n"/>
      <c r="D142" s="41" t="n"/>
      <c r="E142" s="99" t="inlineStr">
        <is>
          <t>ソート順</t>
        </is>
      </c>
      <c r="F142" s="99" t="inlineStr">
        <is>
          <t>出力したファイルの項目並び順が［外部インターフェース設計書/サブシステムインターフェース設計書/帳票設計書の記載通り］であること。</t>
        </is>
      </c>
      <c r="G142" s="99" t="n"/>
      <c r="H142" s="99" t="n"/>
      <c r="I142" s="99" t="n"/>
      <c r="J142" s="82" t="n"/>
      <c r="K142" s="82" t="n"/>
      <c r="L142" s="82" t="n"/>
      <c r="M142" s="82" t="n"/>
      <c r="N142" s="82" t="n"/>
      <c r="O142" s="82" t="n"/>
      <c r="P142" s="82" t="n"/>
      <c r="Q142" s="82" t="n"/>
    </row>
    <row r="143" ht="22" customHeight="1">
      <c r="A143" s="38">
        <f t="array" ref="A143">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_xlpm.テスト内容数（テスト内容が空の場合は1）, IF(_xlpm.テスト内容数=0,1,_xlpm.テスト内容数),
_xlpm.詳細項目数&amp;"-"&amp;_xlpm.観点数&amp;"-"&amp;_xlpm.テスト内容数（テスト内容が空の場合は1）
)</f>
        <v/>
      </c>
      <c r="B143" s="58" t="n"/>
      <c r="C143" s="52" t="n"/>
      <c r="D143" s="41" t="n"/>
      <c r="E143" s="58" t="inlineStr">
        <is>
          <t>レイアウト</t>
        </is>
      </c>
      <c r="F143" s="99" t="inlineStr">
        <is>
          <t>帳票の場合、出力したレイアウトが［帳票設計書の記載通り］であること。</t>
        </is>
      </c>
      <c r="G143" s="99" t="n"/>
      <c r="H143" s="99" t="n"/>
      <c r="I143" s="99" t="n"/>
      <c r="J143" s="82" t="n"/>
      <c r="K143" s="82" t="n"/>
      <c r="L143" s="82" t="n"/>
      <c r="M143" s="82" t="n"/>
      <c r="N143" s="82" t="n"/>
      <c r="O143" s="82" t="n"/>
      <c r="P143" s="82" t="n"/>
      <c r="Q143" s="82" t="n"/>
    </row>
    <row r="144" ht="22" customHeight="1">
      <c r="A144" s="38">
        <f t="array" ref="A144">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_xlpm.テスト内容数（テスト内容が空の場合は1）, IF(_xlpm.テスト内容数=0,1,_xlpm.テスト内容数),
_xlpm.詳細項目数&amp;"-"&amp;_xlpm.観点数&amp;"-"&amp;_xlpm.テスト内容数（テスト内容が空の場合は1）
)</f>
        <v/>
      </c>
      <c r="B144" s="58" t="n"/>
      <c r="C144" s="52" t="n"/>
      <c r="D144" s="41" t="n"/>
      <c r="E144" s="58" t="n"/>
      <c r="F144" s="99" t="inlineStr">
        <is>
          <t>帳票の場合、値の出力形式が［帳票設計書の記載通り］であること。</t>
        </is>
      </c>
      <c r="G144" s="99" t="n"/>
      <c r="H144" s="99" t="n"/>
      <c r="I144" s="99" t="n"/>
      <c r="J144" s="82" t="n"/>
      <c r="K144" s="82" t="n"/>
      <c r="L144" s="82" t="n"/>
      <c r="M144" s="82" t="n"/>
      <c r="N144" s="82" t="n"/>
      <c r="O144" s="82" t="n"/>
      <c r="P144" s="82" t="n"/>
      <c r="Q144" s="82" t="n"/>
    </row>
    <row r="145" ht="22" customHeight="1">
      <c r="A145" s="38">
        <f t="array" ref="A145">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_xlpm.テスト内容数（テスト内容が空の場合は1）, IF(_xlpm.テスト内容数=0,1,_xlpm.テスト内容数),
_xlpm.詳細項目数&amp;"-"&amp;_xlpm.観点数&amp;"-"&amp;_xlpm.テスト内容数（テスト内容が空の場合は1）
)</f>
        <v/>
      </c>
      <c r="B145" s="58" t="n"/>
      <c r="C145" s="52" t="n"/>
      <c r="D145" s="41" t="n"/>
      <c r="E145" s="58" t="n"/>
      <c r="F145" s="99" t="inlineStr">
        <is>
          <t>帳票の場合、フォントの種類が［帳票設計書の記載通り］であること。</t>
        </is>
      </c>
      <c r="G145" s="99" t="n"/>
      <c r="H145" s="99" t="n"/>
      <c r="I145" s="99" t="n"/>
      <c r="J145" s="82" t="n"/>
      <c r="K145" s="82" t="n"/>
      <c r="L145" s="82" t="n"/>
      <c r="M145" s="82" t="n"/>
      <c r="N145" s="82" t="n"/>
      <c r="O145" s="82" t="n"/>
      <c r="P145" s="82" t="n"/>
      <c r="Q145" s="82" t="n"/>
    </row>
    <row r="146" ht="22" customHeight="1">
      <c r="A146" s="38">
        <f t="array" ref="A146">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_xlpm.テスト内容数（テスト内容が空の場合は1）, IF(_xlpm.テスト内容数=0,1,_xlpm.テスト内容数),
_xlpm.詳細項目数&amp;"-"&amp;_xlpm.観点数&amp;"-"&amp;_xlpm.テスト内容数（テスト内容が空の場合は1）
)</f>
        <v/>
      </c>
      <c r="B146" s="58" t="n"/>
      <c r="C146" s="52" t="n"/>
      <c r="D146" s="41" t="n"/>
      <c r="E146" s="58" t="n"/>
      <c r="F146" s="99" t="inlineStr">
        <is>
          <t>帳票の場合、文字サイズが［帳票設計書の記載通り］であること。</t>
        </is>
      </c>
      <c r="G146" s="99" t="n"/>
      <c r="H146" s="99" t="n"/>
      <c r="I146" s="99" t="n"/>
      <c r="J146" s="82" t="n"/>
      <c r="K146" s="82" t="n"/>
      <c r="L146" s="82" t="n"/>
      <c r="M146" s="82" t="n"/>
      <c r="N146" s="82" t="n"/>
      <c r="O146" s="82" t="n"/>
      <c r="P146" s="82" t="n"/>
      <c r="Q146" s="82" t="n"/>
    </row>
    <row r="147" ht="22" customHeight="1">
      <c r="A147" s="38">
        <f t="array" ref="A147">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_xlpm.テスト内容数（テスト内容が空の場合は1）, IF(_xlpm.テスト内容数=0,1,_xlpm.テスト内容数),
_xlpm.詳細項目数&amp;"-"&amp;_xlpm.観点数&amp;"-"&amp;_xlpm.テスト内容数（テスト内容が空の場合は1）
)</f>
        <v/>
      </c>
      <c r="B147" s="58" t="n"/>
      <c r="C147" s="52" t="n"/>
      <c r="D147" s="41" t="n"/>
      <c r="E147" s="58" t="n"/>
      <c r="F147" s="99" t="inlineStr">
        <is>
          <t>帳票の場合、文字スタイル（太字斜体など）が［帳票設計書の記載通り］であること。</t>
        </is>
      </c>
      <c r="G147" s="99" t="n"/>
      <c r="H147" s="99" t="n"/>
      <c r="I147" s="99" t="n"/>
      <c r="J147" s="82" t="n"/>
      <c r="K147" s="82" t="n"/>
      <c r="L147" s="82" t="n"/>
      <c r="M147" s="82" t="n"/>
      <c r="N147" s="82" t="n"/>
      <c r="O147" s="82" t="n"/>
      <c r="P147" s="82" t="n"/>
      <c r="Q147" s="82" t="n"/>
    </row>
    <row r="148" ht="22" customHeight="1">
      <c r="A148" s="38">
        <f t="array" ref="A148">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_xlpm.テスト内容数（テスト内容が空の場合は1）, IF(_xlpm.テスト内容数=0,1,_xlpm.テスト内容数),
_xlpm.詳細項目数&amp;"-"&amp;_xlpm.観点数&amp;"-"&amp;_xlpm.テスト内容数（テスト内容が空の場合は1）
)</f>
        <v/>
      </c>
      <c r="B148" s="58" t="n"/>
      <c r="C148" s="52" t="n"/>
      <c r="D148" s="50" t="n"/>
      <c r="E148" s="286" t="n"/>
      <c r="F148" s="99" t="inlineStr">
        <is>
          <t>帳票の場合、文字色が［帳票設計書の記載通り］であること。</t>
        </is>
      </c>
      <c r="G148" s="99" t="n"/>
      <c r="H148" s="99" t="n"/>
      <c r="I148" s="99" t="n"/>
      <c r="J148" s="82" t="n"/>
      <c r="K148" s="82" t="n"/>
      <c r="L148" s="82" t="n"/>
      <c r="M148" s="82" t="n"/>
      <c r="N148" s="82" t="n"/>
      <c r="O148" s="82" t="n"/>
      <c r="P148" s="82" t="n"/>
      <c r="Q148" s="82" t="n"/>
    </row>
    <row r="149" ht="22" customHeight="1">
      <c r="A149" s="38">
        <f t="array" ref="A149">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_xlpm.テスト内容数（テスト内容が空の場合は1）, IF(_xlpm.テスト内容数=0,1,_xlpm.テスト内容数),
_xlpm.詳細項目数&amp;"-"&amp;_xlpm.観点数&amp;"-"&amp;_xlpm.テスト内容数（テスト内容が空の場合は1）
)</f>
        <v/>
      </c>
      <c r="B149" s="58" t="n"/>
      <c r="C149" s="52" t="n"/>
      <c r="D149" s="41" t="inlineStr">
        <is>
          <t>出力内容</t>
        </is>
      </c>
      <c r="E149" s="58" t="inlineStr">
        <is>
          <t>-</t>
        </is>
      </c>
      <c r="F149" s="99" t="inlineStr">
        <is>
          <t>出力したファイルに含まれる項目の値が、取得元と同値であること。</t>
        </is>
      </c>
      <c r="G149" s="99" t="n"/>
      <c r="H149" s="99" t="n"/>
      <c r="I149" s="99" t="n"/>
      <c r="J149" s="82" t="n"/>
      <c r="K149" s="82" t="n"/>
      <c r="L149" s="82" t="n"/>
      <c r="M149" s="82" t="n"/>
      <c r="N149" s="82" t="n"/>
      <c r="O149" s="82" t="n"/>
      <c r="P149" s="82" t="n"/>
      <c r="Q149" s="82" t="n"/>
    </row>
    <row r="150" ht="22" customHeight="1">
      <c r="A150" s="38">
        <f t="array" ref="A150">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_xlpm.テスト内容数（テスト内容が空の場合は1）, IF(_xlpm.テスト内容数=0,1,_xlpm.テスト内容数),
_xlpm.詳細項目数&amp;"-"&amp;_xlpm.観点数&amp;"-"&amp;_xlpm.テスト内容数（テスト内容が空の場合は1）
)</f>
        <v/>
      </c>
      <c r="B150" s="58" t="n"/>
      <c r="C150" s="52" t="n"/>
      <c r="D150" s="41" t="n"/>
      <c r="E150" s="50" t="n"/>
      <c r="F150" s="99" t="inlineStr">
        <is>
          <t>デフォルト値を出力する項目の場合、デフォルト値が出力されること。</t>
        </is>
      </c>
      <c r="G150" s="99" t="n"/>
      <c r="H150" s="99" t="n"/>
      <c r="I150" s="99" t="n"/>
      <c r="J150" s="82" t="n"/>
      <c r="K150" s="82" t="n"/>
      <c r="L150" s="82" t="n"/>
      <c r="M150" s="82" t="n"/>
      <c r="N150" s="82" t="n"/>
      <c r="O150" s="82" t="n"/>
      <c r="P150" s="82" t="n"/>
      <c r="Q150" s="82" t="n"/>
    </row>
    <row r="151" ht="33" customHeight="1">
      <c r="A151" s="38">
        <f t="array" ref="A15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_xlpm.テスト内容数（テスト内容が空の場合は1）, IF(_xlpm.テスト内容数=0,1,_xlpm.テスト内容数),
_xlpm.詳細項目数&amp;"-"&amp;_xlpm.観点数&amp;"-"&amp;_xlpm.テスト内容数（テスト内容が空の場合は1）
)</f>
        <v/>
      </c>
      <c r="B151" s="58" t="n"/>
      <c r="C151" s="52" t="n"/>
      <c r="D151" s="41" t="n"/>
      <c r="E151" s="41" t="inlineStr">
        <is>
          <t>編集仕様</t>
        </is>
      </c>
      <c r="F151" s="99" t="inlineStr">
        <is>
          <t>取得した値を変換する設計となっている場合、出力された値が［システム機能設計書/共通コンポーネント設計書の記載通り］であること。</t>
        </is>
      </c>
      <c r="G151" s="99" t="n"/>
      <c r="H151" s="99" t="n"/>
      <c r="I151" s="99" t="n"/>
      <c r="J151" s="82" t="n"/>
      <c r="K151" s="82" t="n"/>
      <c r="L151" s="82" t="n"/>
      <c r="M151" s="82" t="n"/>
      <c r="N151" s="82" t="n"/>
      <c r="O151" s="82" t="n"/>
      <c r="P151" s="82" t="n"/>
      <c r="Q151" s="82" t="n"/>
    </row>
    <row r="152" ht="33" customHeight="1">
      <c r="A152" s="38">
        <f t="array" ref="A152">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_xlpm.テスト内容数（テスト内容が空の場合は1）, IF(_xlpm.テスト内容数=0,1,_xlpm.テスト内容数),
_xlpm.詳細項目数&amp;"-"&amp;_xlpm.観点数&amp;"-"&amp;_xlpm.テスト内容数（テスト内容が空の場合は1）
)</f>
        <v/>
      </c>
      <c r="B152" s="58" t="n"/>
      <c r="C152" s="52" t="n"/>
      <c r="D152" s="41" t="n"/>
      <c r="E152" s="58" t="n"/>
      <c r="F152" s="99" t="inlineStr">
        <is>
          <t>取得した値を編集する処理が分岐する設計となっている場合、出力された値が［システム機能設計書/共通コンポーネント設計書の記載通り］であること。</t>
        </is>
      </c>
      <c r="G152" s="99" t="n"/>
      <c r="H152" s="99" t="n"/>
      <c r="I152" s="99" t="n"/>
      <c r="J152" s="82" t="n"/>
      <c r="K152" s="82" t="n"/>
      <c r="L152" s="82" t="n"/>
      <c r="M152" s="82" t="n"/>
      <c r="N152" s="82" t="n"/>
      <c r="O152" s="82" t="n"/>
      <c r="P152" s="82" t="n"/>
      <c r="Q152" s="82" t="n"/>
    </row>
    <row r="153" ht="33" customHeight="1">
      <c r="A153" s="38">
        <f t="array" ref="A153">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_xlpm.テスト内容数（テスト内容が空の場合は1）, IF(_xlpm.テスト内容数=0,1,_xlpm.テスト内容数),
_xlpm.詳細項目数&amp;"-"&amp;_xlpm.観点数&amp;"-"&amp;_xlpm.テスト内容数（テスト内容が空の場合は1）
)</f>
        <v/>
      </c>
      <c r="B153" s="58" t="n"/>
      <c r="C153" s="52" t="n"/>
      <c r="D153" s="41" t="n"/>
      <c r="E153" s="58" t="n"/>
      <c r="F153" s="99" t="inlineStr">
        <is>
          <t>ループ処理によって、取得した値の編集を繰り返す設計となっている場合、出力された値が［システム機能設計書/共通コンポーネント設計書の記載通り］であること。</t>
        </is>
      </c>
      <c r="G153" s="99" t="n"/>
      <c r="H153" s="99" t="n"/>
      <c r="I153" s="99" t="n"/>
      <c r="J153" s="82" t="n"/>
      <c r="K153" s="82" t="n"/>
      <c r="L153" s="82" t="n"/>
      <c r="M153" s="82" t="n"/>
      <c r="N153" s="82" t="n"/>
      <c r="O153" s="82" t="n"/>
      <c r="P153" s="82" t="n"/>
      <c r="Q153" s="82" t="n"/>
    </row>
    <row r="154" ht="33" customHeight="1">
      <c r="A154" s="38">
        <f t="array" ref="A154">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_xlpm.テスト内容数（テスト内容が空の場合は1）, IF(_xlpm.テスト内容数=0,1,_xlpm.テスト内容数),
_xlpm.詳細項目数&amp;"-"&amp;_xlpm.観点数&amp;"-"&amp;_xlpm.テスト内容数（テスト内容が空の場合は1）
)</f>
        <v/>
      </c>
      <c r="B154" s="58" t="n"/>
      <c r="C154" s="52" t="n"/>
      <c r="D154" s="41" t="n"/>
      <c r="E154" s="58" t="n"/>
      <c r="F154" s="99" t="inlineStr">
        <is>
          <t>取得した値を使用して計算する設計となっている場合、出力された値が［システム機能設計書/共通コンポーネント設計書の記載通り］であること。</t>
        </is>
      </c>
      <c r="G154" s="99" t="n"/>
      <c r="H154" s="99" t="n"/>
      <c r="I154" s="99" t="n"/>
      <c r="J154" s="82" t="n"/>
      <c r="K154" s="82" t="n"/>
      <c r="L154" s="82" t="n"/>
      <c r="M154" s="82" t="n"/>
      <c r="N154" s="82" t="n"/>
      <c r="O154" s="82" t="n"/>
      <c r="P154" s="82" t="n"/>
      <c r="Q154" s="82" t="n"/>
    </row>
    <row r="155" ht="33" customHeight="1">
      <c r="A155" s="38">
        <f t="array" ref="A155">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_xlpm.テスト内容数（テスト内容が空の場合は1）, IF(_xlpm.テスト内容数=0,1,_xlpm.テスト内容数),
_xlpm.詳細項目数&amp;"-"&amp;_xlpm.観点数&amp;"-"&amp;_xlpm.テスト内容数（テスト内容が空の場合は1）
)</f>
        <v/>
      </c>
      <c r="B155" s="58" t="n"/>
      <c r="C155" s="52" t="n"/>
      <c r="D155" s="41" t="n"/>
      <c r="E155" s="58" t="n"/>
      <c r="F155" s="99" t="inlineStr">
        <is>
          <t>取得した値を連結する設計となっている場合、出力された値が［システム機能設計書/共通コンポーネント設計書の記載通り］であること。</t>
        </is>
      </c>
      <c r="G155" s="99" t="n"/>
      <c r="H155" s="99" t="n"/>
      <c r="I155" s="99" t="n"/>
      <c r="J155" s="82" t="n"/>
      <c r="K155" s="82" t="n"/>
      <c r="L155" s="82" t="n"/>
      <c r="M155" s="82" t="n"/>
      <c r="N155" s="82" t="n"/>
      <c r="O155" s="82" t="n"/>
      <c r="P155" s="82" t="n"/>
      <c r="Q155" s="82" t="n"/>
    </row>
    <row r="156" ht="22" customHeight="1">
      <c r="A156" s="38">
        <f t="array" ref="A156">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_xlpm.テスト内容数（テスト内容が空の場合は1）, IF(_xlpm.テスト内容数=0,1,_xlpm.テスト内容数),
_xlpm.詳細項目数&amp;"-"&amp;_xlpm.観点数&amp;"-"&amp;_xlpm.テスト内容数（テスト内容が空の場合は1）
)</f>
        <v/>
      </c>
      <c r="B156" s="58" t="n"/>
      <c r="C156" s="52" t="n"/>
      <c r="D156" s="41" t="n"/>
      <c r="E156" s="58" t="n"/>
      <c r="F156" s="99" t="inlineStr">
        <is>
          <t>取得した値を暗号化する設計となっている場合、出力された値が暗号化されること。</t>
        </is>
      </c>
      <c r="G156" s="99" t="n"/>
      <c r="H156" s="99" t="n"/>
      <c r="I156" s="99" t="n"/>
      <c r="J156" s="82" t="n"/>
      <c r="K156" s="82" t="n"/>
      <c r="L156" s="82" t="n"/>
      <c r="M156" s="82" t="n"/>
      <c r="N156" s="82" t="n"/>
      <c r="O156" s="82" t="n"/>
      <c r="P156" s="82" t="n"/>
      <c r="Q156" s="82" t="n"/>
    </row>
    <row r="157" ht="22" customHeight="1">
      <c r="A157" s="38">
        <f t="array" ref="A157">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_xlpm.テスト内容数（テスト内容が空の場合は1）, IF(_xlpm.テスト内容数=0,1,_xlpm.テスト内容数),
_xlpm.詳細項目数&amp;"-"&amp;_xlpm.観点数&amp;"-"&amp;_xlpm.テスト内容数（テスト内容が空の場合は1）
)</f>
        <v/>
      </c>
      <c r="B157" s="58" t="n"/>
      <c r="C157" s="52" t="n"/>
      <c r="D157" s="41" t="n"/>
      <c r="E157" s="58" t="n"/>
      <c r="F157" s="99" t="inlineStr">
        <is>
          <t>取得した値をマスキングする設計となっている場合、出力された値がマスキングされること。</t>
        </is>
      </c>
      <c r="G157" s="99" t="n"/>
      <c r="H157" s="99" t="n"/>
      <c r="I157" s="99" t="n"/>
      <c r="J157" s="82" t="n"/>
      <c r="K157" s="82" t="n"/>
      <c r="L157" s="82" t="n"/>
      <c r="M157" s="82" t="n"/>
      <c r="N157" s="82" t="n"/>
      <c r="O157" s="82" t="n"/>
      <c r="P157" s="82" t="n"/>
      <c r="Q157" s="82" t="n"/>
    </row>
    <row r="158" ht="33" customHeight="1">
      <c r="A158" s="38">
        <f t="array" ref="A158">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_xlpm.テスト内容数（テスト内容が空の場合は1）, IF(_xlpm.テスト内容数=0,1,_xlpm.テスト内容数),
_xlpm.詳細項目数&amp;"-"&amp;_xlpm.観点数&amp;"-"&amp;_xlpm.テスト内容数（テスト内容が空の場合は1）
)</f>
        <v/>
      </c>
      <c r="B158" s="58" t="n"/>
      <c r="C158" s="52" t="n"/>
      <c r="D158" s="41" t="n"/>
      <c r="E158" s="58" t="n"/>
      <c r="F158" s="99" t="inlineStr">
        <is>
          <t>取得した値に改行、タブ、メタキャラクタが含まれる場合、出力された値がエンコーディング、サニタイジングされること。</t>
        </is>
      </c>
      <c r="G158" s="99" t="n"/>
      <c r="H158" s="99" t="n"/>
      <c r="I158" s="99" t="n"/>
      <c r="J158" s="82" t="n"/>
      <c r="K158" s="82" t="n"/>
      <c r="L158" s="82" t="n"/>
      <c r="M158" s="82" t="n"/>
      <c r="N158" s="82" t="n"/>
      <c r="O158" s="82" t="n"/>
      <c r="P158" s="82" t="n"/>
      <c r="Q158" s="82" t="n"/>
    </row>
    <row r="159" ht="33" customHeight="1">
      <c r="A159" s="38">
        <f t="array" ref="A159">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_xlpm.テスト内容数（テスト内容が空の場合は1）, IF(_xlpm.テスト内容数=0,1,_xlpm.テスト内容数),
_xlpm.詳細項目数&amp;"-"&amp;_xlpm.観点数&amp;"-"&amp;_xlpm.テスト内容数（テスト内容が空の場合は1）
)</f>
        <v/>
      </c>
      <c r="B159" s="58" t="n"/>
      <c r="C159" s="52" t="n"/>
      <c r="D159" s="41" t="n"/>
      <c r="E159" s="58" t="n"/>
      <c r="F159" s="99" t="inlineStr">
        <is>
          <t>取得した値をパディングする設計となっている場合、出力された値が［システム機能設計書/共通コンポーネント設計書の記載通り］であること。</t>
        </is>
      </c>
      <c r="G159" s="99" t="n"/>
      <c r="H159" s="99" t="n"/>
      <c r="I159" s="99" t="n"/>
      <c r="J159" s="82" t="n"/>
      <c r="K159" s="82" t="n"/>
      <c r="L159" s="82" t="n"/>
      <c r="M159" s="82" t="n"/>
      <c r="N159" s="82" t="n"/>
      <c r="O159" s="82" t="n"/>
      <c r="P159" s="82" t="n"/>
      <c r="Q159" s="82" t="n"/>
    </row>
    <row r="160" ht="33" customHeight="1">
      <c r="A160" s="38">
        <f t="array" ref="A160">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_xlpm.テスト内容数（テスト内容が空の場合は1）, IF(_xlpm.テスト内容数=0,1,_xlpm.テスト内容数),
_xlpm.詳細項目数&amp;"-"&amp;_xlpm.観点数&amp;"-"&amp;_xlpm.テスト内容数（テスト内容が空の場合は1）
)</f>
        <v/>
      </c>
      <c r="B160" s="58" t="n"/>
      <c r="C160" s="52" t="n"/>
      <c r="D160" s="41" t="n"/>
      <c r="E160" s="58" t="n"/>
      <c r="F160" s="99" t="inlineStr">
        <is>
          <t>取得した値をパディングする設計となっている場合、出力された値のパディング位置が［システム機能設計書/共通コンポーネント設計書の記載通り］であること。</t>
        </is>
      </c>
      <c r="G160" s="99" t="n"/>
      <c r="H160" s="99" t="n"/>
      <c r="I160" s="99" t="n"/>
      <c r="J160" s="82" t="n"/>
      <c r="K160" s="82" t="n"/>
      <c r="L160" s="82" t="n"/>
      <c r="M160" s="82" t="n"/>
      <c r="N160" s="82" t="n"/>
      <c r="O160" s="82" t="n"/>
      <c r="P160" s="82" t="n"/>
      <c r="Q160" s="82" t="n"/>
    </row>
    <row r="161" ht="33" customHeight="1">
      <c r="A161" s="38">
        <f t="array" ref="A16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_xlpm.テスト内容数（テスト内容が空の場合は1）, IF(_xlpm.テスト内容数=0,1,_xlpm.テスト内容数),
_xlpm.詳細項目数&amp;"-"&amp;_xlpm.観点数&amp;"-"&amp;_xlpm.テスト内容数（テスト内容が空の場合は1）
)</f>
        <v/>
      </c>
      <c r="B161" s="58" t="n"/>
      <c r="C161" s="52" t="n"/>
      <c r="D161" s="41" t="n"/>
      <c r="E161" s="50" t="n"/>
      <c r="F161" s="99" t="inlineStr">
        <is>
          <t>取得した数値が小数点以下を含む場合、出力された小数点以下の数値が［システム機能設計書/共通コンポーネント設計書の記載通り］であること。</t>
        </is>
      </c>
      <c r="G161" s="99" t="n"/>
      <c r="H161" s="99" t="n"/>
      <c r="I161" s="99" t="n"/>
      <c r="J161" s="82" t="n"/>
      <c r="K161" s="82" t="n"/>
      <c r="L161" s="82" t="n"/>
      <c r="M161" s="82" t="n"/>
      <c r="N161" s="82" t="n"/>
      <c r="O161" s="82" t="n"/>
      <c r="P161" s="82" t="n"/>
      <c r="Q161" s="82" t="n"/>
    </row>
    <row r="162" ht="22" customHeight="1">
      <c r="A162" s="38">
        <f t="array" ref="A162">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_xlpm.テスト内容数（テスト内容が空の場合は1）, IF(_xlpm.テスト内容数=0,1,_xlpm.テスト内容数),
_xlpm.詳細項目数&amp;"-"&amp;_xlpm.観点数&amp;"-"&amp;_xlpm.テスト内容数（テスト内容が空の場合は1）
)</f>
        <v/>
      </c>
      <c r="B162" s="58" t="n"/>
      <c r="C162" s="52" t="n"/>
      <c r="D162" s="41" t="n"/>
      <c r="E162" s="41" t="inlineStr">
        <is>
          <t>桁数</t>
        </is>
      </c>
      <c r="F162" s="99" t="inlineStr">
        <is>
          <t>出力項目の値が最大長の場合、エラーとならないこと。</t>
        </is>
      </c>
      <c r="G162" s="99" t="n"/>
      <c r="H162" s="99" t="n"/>
      <c r="I162" s="99" t="n"/>
      <c r="J162" s="82" t="n"/>
      <c r="K162" s="82" t="n"/>
      <c r="L162" s="82" t="n"/>
      <c r="M162" s="82" t="n"/>
      <c r="N162" s="82" t="n"/>
      <c r="O162" s="82" t="n"/>
      <c r="P162" s="82" t="n"/>
      <c r="Q162" s="82" t="n"/>
    </row>
    <row r="163" ht="22" customHeight="1">
      <c r="A163" s="38">
        <f t="array" ref="A163">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_xlpm.テスト内容数（テスト内容が空の場合は1）, IF(_xlpm.テスト内容数=0,1,_xlpm.テスト内容数),
_xlpm.詳細項目数&amp;"-"&amp;_xlpm.観点数&amp;"-"&amp;_xlpm.テスト内容数（テスト内容が空の場合は1）
)</f>
        <v/>
      </c>
      <c r="B163" s="58" t="n"/>
      <c r="C163" s="52" t="n"/>
      <c r="D163" s="41" t="n"/>
      <c r="E163" s="41" t="n"/>
      <c r="F163" s="99" t="inlineStr">
        <is>
          <t>出力項目の値が最小長の場合、エラーとならないこと。</t>
        </is>
      </c>
      <c r="G163" s="99" t="n"/>
      <c r="H163" s="99" t="n"/>
      <c r="I163" s="99" t="n"/>
      <c r="J163" s="82" t="n"/>
      <c r="K163" s="82" t="n"/>
      <c r="L163" s="82" t="n"/>
      <c r="M163" s="82" t="n"/>
      <c r="N163" s="82" t="n"/>
      <c r="O163" s="82" t="n"/>
      <c r="P163" s="82" t="n"/>
      <c r="Q163" s="82" t="n"/>
    </row>
    <row r="164" ht="22" customHeight="1">
      <c r="A164" s="38">
        <f t="array" ref="A164">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_xlpm.テスト内容数（テスト内容が空の場合は1）, IF(_xlpm.テスト内容数=0,1,_xlpm.テスト内容数),
_xlpm.詳細項目数&amp;"-"&amp;_xlpm.観点数&amp;"-"&amp;_xlpm.テスト内容数（テスト内容が空の場合は1）
)</f>
        <v/>
      </c>
      <c r="B164" s="58" t="n"/>
      <c r="C164" s="52" t="n"/>
      <c r="D164" s="41" t="n"/>
      <c r="E164" s="41" t="n"/>
      <c r="F164" s="99" t="inlineStr">
        <is>
          <t>出力項目の値が存在しない場合、［システム機能設計書/共通コンポーネント設計書の記載通りの挙動］となること。</t>
        </is>
      </c>
      <c r="G164" s="99" t="n"/>
      <c r="H164" s="99" t="n"/>
      <c r="I164" s="99" t="n"/>
      <c r="J164" s="82" t="n"/>
      <c r="K164" s="82" t="n"/>
      <c r="L164" s="82" t="n"/>
      <c r="M164" s="82" t="n"/>
      <c r="N164" s="82" t="n"/>
      <c r="O164" s="82" t="n"/>
      <c r="P164" s="82" t="n"/>
      <c r="Q164" s="82" t="n"/>
    </row>
    <row r="165" ht="22" customHeight="1">
      <c r="A165" s="38">
        <f t="array" ref="A165">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_xlpm.テスト内容数（テスト内容が空の場合は1）, IF(_xlpm.テスト内容数=0,1,_xlpm.テスト内容数),
_xlpm.詳細項目数&amp;"-"&amp;_xlpm.観点数&amp;"-"&amp;_xlpm.テスト内容数（テスト内容が空の場合は1）
)</f>
        <v/>
      </c>
      <c r="B165" s="58" t="n"/>
      <c r="C165" s="52" t="n"/>
      <c r="D165" s="41" t="n"/>
      <c r="E165" s="41" t="n"/>
      <c r="F165" s="99" t="inlineStr">
        <is>
          <t>出力するレコードの長さが最大の場合、エラーとならないこと。</t>
        </is>
      </c>
      <c r="G165" s="99" t="n"/>
      <c r="H165" s="99" t="n"/>
      <c r="I165" s="99" t="n"/>
      <c r="J165" s="82" t="n"/>
      <c r="K165" s="82" t="n"/>
      <c r="L165" s="82" t="n"/>
      <c r="M165" s="82" t="n"/>
      <c r="N165" s="82" t="n"/>
      <c r="O165" s="82" t="n"/>
      <c r="P165" s="82" t="n"/>
      <c r="Q165" s="82" t="n"/>
    </row>
    <row r="166" ht="22" customHeight="1">
      <c r="A166" s="38">
        <f t="array" ref="A166">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_xlpm.テスト内容数（テスト内容が空の場合は1）, IF(_xlpm.テスト内容数=0,1,_xlpm.テスト内容数),
_xlpm.詳細項目数&amp;"-"&amp;_xlpm.観点数&amp;"-"&amp;_xlpm.テスト内容数（テスト内容が空の場合は1）
)</f>
        <v/>
      </c>
      <c r="B166" s="58" t="n"/>
      <c r="C166" s="52" t="n"/>
      <c r="D166" s="41" t="n"/>
      <c r="E166" s="41" t="n"/>
      <c r="F166" s="99" t="inlineStr">
        <is>
          <t>出力するレコードの長さが最小の場合、エラーとならないこと。</t>
        </is>
      </c>
      <c r="G166" s="99" t="n"/>
      <c r="H166" s="99" t="n"/>
      <c r="I166" s="99" t="n"/>
      <c r="J166" s="82" t="n"/>
      <c r="K166" s="82" t="n"/>
      <c r="L166" s="82" t="n"/>
      <c r="M166" s="82" t="n"/>
      <c r="N166" s="82" t="n"/>
      <c r="O166" s="82" t="n"/>
      <c r="P166" s="82" t="n"/>
      <c r="Q166" s="82" t="n"/>
    </row>
    <row r="167" ht="33" customHeight="1">
      <c r="A167" s="38">
        <f t="array" ref="A167">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_xlpm.テスト内容数（テスト内容が空の場合は1）, IF(_xlpm.テスト内容数=0,1,_xlpm.テスト内容数),
_xlpm.詳細項目数&amp;"-"&amp;_xlpm.観点数&amp;"-"&amp;_xlpm.テスト内容数（テスト内容が空の場合は1）
)</f>
        <v/>
      </c>
      <c r="B167" s="58" t="n"/>
      <c r="C167" s="52" t="n"/>
      <c r="D167" s="41" t="n"/>
      <c r="E167" s="41" t="n"/>
      <c r="F167" s="99" t="inlineStr">
        <is>
          <t>サロゲートペア文字を許容する設計となっている場合、サロゲートペア文字を含むレコードを出力した結果がエラーとならないこと。</t>
        </is>
      </c>
      <c r="G167" s="99" t="n"/>
      <c r="H167" s="99" t="n"/>
      <c r="I167" s="99" t="n"/>
      <c r="J167" s="82" t="n"/>
      <c r="K167" s="82" t="n"/>
      <c r="L167" s="82" t="n"/>
      <c r="M167" s="82" t="n"/>
      <c r="N167" s="82" t="n"/>
      <c r="O167" s="82" t="n"/>
      <c r="P167" s="82" t="n"/>
      <c r="Q167" s="82" t="n"/>
    </row>
    <row r="168" ht="22" customHeight="1">
      <c r="A168" s="38">
        <f t="array" ref="A168">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_xlpm.テスト内容数（テスト内容が空の場合は1）, IF(_xlpm.テスト内容数=0,1,_xlpm.テスト内容数),
_xlpm.詳細項目数&amp;"-"&amp;_xlpm.観点数&amp;"-"&amp;_xlpm.テスト内容数（テスト内容が空の場合は1）
)</f>
        <v/>
      </c>
      <c r="B168" s="41" t="n"/>
      <c r="C168" s="52" t="n"/>
      <c r="D168" s="41" t="n"/>
      <c r="E168" s="50" t="n"/>
      <c r="F168" s="99" t="inlineStr">
        <is>
          <t>帳票に出力する項目の値が最大長の場合、出力内容が見切れないこと。</t>
        </is>
      </c>
      <c r="G168" s="99" t="n"/>
      <c r="H168" s="99" t="n"/>
      <c r="I168" s="99" t="n"/>
      <c r="J168" s="82" t="n"/>
      <c r="K168" s="82" t="n"/>
      <c r="L168" s="82" t="n"/>
      <c r="M168" s="82" t="n"/>
      <c r="N168" s="82" t="n"/>
      <c r="O168" s="82" t="n"/>
      <c r="P168" s="82" t="n"/>
      <c r="Q168" s="82" t="n"/>
    </row>
    <row r="169" ht="22" customHeight="1">
      <c r="A169" s="38">
        <f t="array" ref="A169">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_xlpm.テスト内容数（テスト内容が空の場合は1）, IF(_xlpm.テスト内容数=0,1,_xlpm.テスト内容数),
_xlpm.詳細項目数&amp;"-"&amp;_xlpm.観点数&amp;"-"&amp;_xlpm.テスト内容数（テスト内容が空の場合は1）
)</f>
        <v/>
      </c>
      <c r="B169" s="41" t="n"/>
      <c r="C169" s="52" t="n"/>
      <c r="D169" s="41" t="n"/>
      <c r="E169" s="40" t="inlineStr">
        <is>
          <t>レコード件数</t>
        </is>
      </c>
      <c r="F169" s="99" t="inlineStr">
        <is>
          <t>ファイルに期待通りの件数分、レコードが出力されること。</t>
        </is>
      </c>
      <c r="G169" s="99" t="n"/>
      <c r="H169" s="99" t="n"/>
      <c r="I169" s="99" t="n"/>
      <c r="J169" s="82" t="n"/>
      <c r="K169" s="82" t="n"/>
      <c r="L169" s="82" t="n"/>
      <c r="M169" s="82" t="n"/>
      <c r="N169" s="82" t="n"/>
      <c r="O169" s="82" t="n"/>
      <c r="P169" s="82" t="n"/>
      <c r="Q169" s="82" t="n"/>
    </row>
    <row r="170" ht="33" customHeight="1">
      <c r="A170" s="38">
        <f t="array" ref="A170">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_xlpm.テスト内容数（テスト内容が空の場合は1）, IF(_xlpm.テスト内容数=0,1,_xlpm.テスト内容数),
_xlpm.詳細項目数&amp;"-"&amp;_xlpm.観点数&amp;"-"&amp;_xlpm.テスト内容数（テスト内容が空の場合は1）
)</f>
        <v/>
      </c>
      <c r="B170" s="58" t="n"/>
      <c r="C170" s="52" t="n"/>
      <c r="D170" s="41" t="n"/>
      <c r="E170" s="41" t="n"/>
      <c r="F170" s="99" t="inlineStr">
        <is>
          <t>レコード件数をファイルに出力する設計となっている場合、出力された値が［システム機能設計書/共通コンポーネント設計書の記載通り］であること。</t>
        </is>
      </c>
      <c r="G170" s="99" t="n"/>
      <c r="H170" s="99" t="n"/>
      <c r="I170" s="99" t="n"/>
      <c r="J170" s="82" t="n"/>
      <c r="K170" s="82" t="n"/>
      <c r="L170" s="82" t="n"/>
      <c r="M170" s="82" t="n"/>
      <c r="N170" s="82" t="n"/>
      <c r="O170" s="82" t="n"/>
      <c r="P170" s="82" t="n"/>
      <c r="Q170" s="82" t="n"/>
    </row>
    <row r="171" ht="33" customHeight="1">
      <c r="A171" s="38">
        <f t="array" ref="A17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_xlpm.テスト内容数（テスト内容が空の場合は1）, IF(_xlpm.テスト内容数=0,1,_xlpm.テスト内容数),
_xlpm.詳細項目数&amp;"-"&amp;_xlpm.観点数&amp;"-"&amp;_xlpm.テスト内容数（テスト内容が空の場合は1）
)</f>
        <v/>
      </c>
      <c r="B171" s="58" t="n"/>
      <c r="C171" s="52" t="n"/>
      <c r="D171" s="41" t="n"/>
      <c r="E171" s="41" t="n"/>
      <c r="F171" s="99" t="inlineStr">
        <is>
          <t>出力するレコード件数が複数件の場合、［システム機能設計書/共通コンポーネント設計書の記載通りの挙動］となること。</t>
        </is>
      </c>
      <c r="G171" s="99" t="n"/>
      <c r="H171" s="99" t="n"/>
      <c r="I171" s="99" t="n"/>
      <c r="J171" s="82" t="n"/>
      <c r="K171" s="82" t="n"/>
      <c r="L171" s="82" t="n"/>
      <c r="M171" s="82" t="n"/>
      <c r="N171" s="82" t="n"/>
      <c r="O171" s="82" t="n"/>
      <c r="P171" s="82" t="n"/>
      <c r="Q171" s="82" t="n"/>
    </row>
    <row r="172" ht="44" customHeight="1">
      <c r="A172" s="38">
        <f t="array" ref="A172">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_xlpm.テスト内容数（テスト内容が空の場合は1）, IF(_xlpm.テスト内容数=0,1,_xlpm.テスト内容数),
_xlpm.詳細項目数&amp;"-"&amp;_xlpm.観点数&amp;"-"&amp;_xlpm.テスト内容数（テスト内容が空の場合は1）
)</f>
        <v/>
      </c>
      <c r="B172" s="58" t="n"/>
      <c r="C172" s="52" t="n"/>
      <c r="D172" s="41" t="n"/>
      <c r="E172" s="41" t="n"/>
      <c r="F172" s="99" t="inlineStr">
        <is>
          <t>1ファイルに出力するレコードの最大件数が決まっている場合、最大件数分のレコードを出力した結果が［システム機能設計書/共通コンポーネント設計書の記載通り］であること。</t>
        </is>
      </c>
      <c r="G172" s="99" t="n"/>
      <c r="H172" s="99" t="n"/>
      <c r="I172" s="99" t="n"/>
      <c r="J172" s="82" t="n"/>
      <c r="K172" s="82" t="n"/>
      <c r="L172" s="82" t="n"/>
      <c r="M172" s="82" t="n"/>
      <c r="N172" s="82" t="n"/>
      <c r="O172" s="82" t="n"/>
      <c r="P172" s="82" t="n"/>
      <c r="Q172" s="82" t="n"/>
    </row>
    <row r="173" ht="44" customHeight="1">
      <c r="A173" s="38">
        <f t="array" ref="A173">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_xlpm.テスト内容数（テスト内容が空の場合は1）, IF(_xlpm.テスト内容数=0,1,_xlpm.テスト内容数),
_xlpm.詳細項目数&amp;"-"&amp;_xlpm.観点数&amp;"-"&amp;_xlpm.テスト内容数（テスト内容が空の場合は1）
)</f>
        <v/>
      </c>
      <c r="B173" s="58" t="n"/>
      <c r="C173" s="52" t="n"/>
      <c r="D173" s="41" t="n"/>
      <c r="E173" s="41" t="n"/>
      <c r="F173" s="99" t="inlineStr">
        <is>
          <t>1ファイルに出力するレコードの最大件数が決まっている場合、最大件数＋1件分のレコードを出力した結果が［システム機能設計書/共通コンポーネント設計書の記載通り］であること。</t>
        </is>
      </c>
      <c r="G173" s="99" t="n"/>
      <c r="H173" s="99" t="n"/>
      <c r="I173" s="99" t="n"/>
      <c r="J173" s="82" t="n"/>
      <c r="K173" s="82" t="n"/>
      <c r="L173" s="82" t="n"/>
      <c r="M173" s="82" t="n"/>
      <c r="N173" s="82" t="n"/>
      <c r="O173" s="82" t="n"/>
      <c r="P173" s="82" t="n"/>
      <c r="Q173" s="82" t="n"/>
    </row>
    <row r="174" ht="33" customHeight="1">
      <c r="A174" s="38">
        <f t="array" ref="A174">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_xlpm.テスト内容数（テスト内容が空の場合は1）, IF(_xlpm.テスト内容数=0,1,_xlpm.テスト内容数),
_xlpm.詳細項目数&amp;"-"&amp;_xlpm.観点数&amp;"-"&amp;_xlpm.テスト内容数（テスト内容が空の場合は1）
)</f>
        <v/>
      </c>
      <c r="B174" s="58" t="n"/>
      <c r="C174" s="52" t="n"/>
      <c r="D174" s="41" t="n"/>
      <c r="E174" s="41" t="n"/>
      <c r="F174" s="99" t="inlineStr">
        <is>
          <t>出力するレコードが0件（空ファイル）の場合、［システム機能設計書/共通コンポーネント設計書の記載通りの挙動］となること。</t>
        </is>
      </c>
      <c r="G174" s="99" t="n"/>
      <c r="H174" s="99" t="n"/>
      <c r="I174" s="99" t="n"/>
      <c r="J174" s="82" t="n"/>
      <c r="K174" s="82" t="n"/>
      <c r="L174" s="82" t="n"/>
      <c r="M174" s="82" t="n"/>
      <c r="N174" s="82" t="n"/>
      <c r="O174" s="82" t="n"/>
      <c r="P174" s="82" t="n"/>
      <c r="Q174" s="82" t="n"/>
    </row>
    <row r="175" ht="44" customHeight="1">
      <c r="A175" s="38">
        <f t="array" ref="A175">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_xlpm.テスト内容数（テスト内容が空の場合は1）, IF(_xlpm.テスト内容数=0,1,_xlpm.テスト内容数),
_xlpm.詳細項目数&amp;"-"&amp;_xlpm.観点数&amp;"-"&amp;_xlpm.テスト内容数（テスト内容が空の場合は1）
)</f>
        <v/>
      </c>
      <c r="B175" s="58" t="n"/>
      <c r="C175" s="52" t="n"/>
      <c r="D175" s="41" t="n"/>
      <c r="E175" s="41" t="n"/>
      <c r="F175" s="99" t="inlineStr">
        <is>
          <t>出力するファイルがマルチレイアウトの場合、同一レコード種類のレコードが複数件存在する時の処理が［システム機能設計書/共通コンポーネント設計書の記載通り］であること。</t>
        </is>
      </c>
      <c r="G175" s="99" t="n"/>
      <c r="H175" s="99" t="n"/>
      <c r="I175" s="99" t="n"/>
      <c r="J175" s="82" t="n"/>
      <c r="K175" s="82" t="n"/>
      <c r="L175" s="82" t="n"/>
      <c r="M175" s="82" t="n"/>
      <c r="N175" s="82" t="n"/>
      <c r="O175" s="82" t="n"/>
      <c r="P175" s="82" t="n"/>
      <c r="Q175" s="82" t="n"/>
    </row>
    <row r="176" ht="44" customHeight="1">
      <c r="A176" s="38">
        <f t="array" ref="A176">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_xlpm.テスト内容数（テスト内容が空の場合は1）, IF(_xlpm.テスト内容数=0,1,_xlpm.テスト内容数),
_xlpm.詳細項目数&amp;"-"&amp;_xlpm.観点数&amp;"-"&amp;_xlpm.テスト内容数（テスト内容が空の場合は1）
)</f>
        <v/>
      </c>
      <c r="B176" s="58" t="n"/>
      <c r="C176" s="52" t="n"/>
      <c r="D176" s="41" t="n"/>
      <c r="E176" s="41" t="n"/>
      <c r="F176" s="99" t="inlineStr">
        <is>
          <t>出力するファイルがマルチレイアウトの場合、レコード種類のうちデータレコードにあたる件数が0件の時、［システム機能設計書/共通コンポーネント設計書の記載通りの挙動］であること。</t>
        </is>
      </c>
      <c r="G176" s="99" t="n"/>
      <c r="H176" s="99" t="n"/>
      <c r="I176" s="99" t="n"/>
      <c r="J176" s="82" t="n"/>
      <c r="K176" s="82" t="n"/>
      <c r="L176" s="82" t="n"/>
      <c r="M176" s="82" t="n"/>
      <c r="N176" s="82" t="n"/>
      <c r="O176" s="82" t="n"/>
      <c r="P176" s="82" t="n"/>
      <c r="Q176" s="82" t="n"/>
    </row>
    <row r="177" ht="22" customHeight="1">
      <c r="A177" s="38">
        <f t="array" ref="A177">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_xlpm.テスト内容数（テスト内容が空の場合は1）, IF(_xlpm.テスト内容数=0,1,_xlpm.テスト内容数),
_xlpm.詳細項目数&amp;"-"&amp;_xlpm.観点数&amp;"-"&amp;_xlpm.テスト内容数（テスト内容が空の場合は1）
)</f>
        <v/>
      </c>
      <c r="B177" s="58" t="n"/>
      <c r="C177" s="52" t="n"/>
      <c r="D177" s="41" t="n"/>
      <c r="E177" s="50" t="n"/>
      <c r="F177" s="99" t="inlineStr">
        <is>
          <t>出力するファイルがマルチレイアウトで、全レコード種類が含まれる場合、エラーとならないこと。</t>
        </is>
      </c>
      <c r="G177" s="99" t="n"/>
      <c r="H177" s="99" t="n"/>
      <c r="I177" s="99" t="n"/>
      <c r="J177" s="82" t="n"/>
      <c r="K177" s="82" t="n"/>
      <c r="L177" s="82" t="n"/>
      <c r="M177" s="82" t="n"/>
      <c r="N177" s="82" t="n"/>
      <c r="O177" s="82" t="n"/>
      <c r="P177" s="82" t="n"/>
      <c r="Q177" s="82" t="n"/>
    </row>
    <row r="178" ht="33" customHeight="1">
      <c r="A178" s="38">
        <f t="array" ref="A178">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_xlpm.テスト内容数（テスト内容が空の場合は1）, IF(_xlpm.テスト内容数=0,1,_xlpm.テスト内容数),
_xlpm.詳細項目数&amp;"-"&amp;_xlpm.観点数&amp;"-"&amp;_xlpm.テスト内容数（テスト内容が空の場合は1）
)</f>
        <v/>
      </c>
      <c r="B178" s="58" t="n"/>
      <c r="C178" s="52" t="n"/>
      <c r="D178" s="41" t="n"/>
      <c r="E178" s="99" t="inlineStr">
        <is>
          <t>ソート順</t>
        </is>
      </c>
      <c r="F178" s="99" t="inlineStr">
        <is>
          <t>出力するレコードのソート順が［システム機能設計書/共通コンポーネント設計書/帳票設計書の記載通り］であること。</t>
        </is>
      </c>
      <c r="G178" s="99" t="n"/>
      <c r="H178" s="99" t="n"/>
      <c r="I178" s="99" t="n"/>
      <c r="J178" s="82" t="n"/>
      <c r="K178" s="82" t="n"/>
      <c r="L178" s="82" t="n"/>
      <c r="M178" s="82" t="n"/>
      <c r="N178" s="82" t="n"/>
      <c r="O178" s="82" t="n"/>
      <c r="P178" s="82" t="n"/>
      <c r="Q178" s="82" t="n"/>
    </row>
    <row r="179" ht="22" customHeight="1">
      <c r="A179" s="38">
        <f t="array" ref="A179">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_xlpm.テスト内容数（テスト内容が空の場合は1）, IF(_xlpm.テスト内容数=0,1,_xlpm.テスト内容数),
_xlpm.詳細項目数&amp;"-"&amp;_xlpm.観点数&amp;"-"&amp;_xlpm.テスト内容数（テスト内容が空の場合は1）
)</f>
        <v/>
      </c>
      <c r="B179" s="50" t="n"/>
      <c r="C179" s="49" t="n"/>
      <c r="D179" s="50" t="n"/>
      <c r="E179" s="49" t="inlineStr">
        <is>
          <t>画像</t>
        </is>
      </c>
      <c r="F179" s="99" t="inlineStr">
        <is>
          <t>出力された画像が［システム機能設計書/共通コンポーネント設計書/帳票設計書の記載通り］であること。</t>
        </is>
      </c>
      <c r="G179" s="99" t="n"/>
      <c r="H179" s="99" t="n"/>
      <c r="I179" s="99" t="n"/>
      <c r="J179" s="82" t="n"/>
      <c r="K179" s="82" t="n"/>
      <c r="L179" s="82" t="n"/>
      <c r="M179" s="82" t="n"/>
      <c r="N179" s="82" t="n"/>
      <c r="O179" s="82" t="n"/>
      <c r="P179" s="82" t="n"/>
      <c r="Q179" s="82" t="n"/>
    </row>
    <row r="180" ht="22" customHeight="1">
      <c r="A180" s="38">
        <f t="array" ref="A180">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_xlpm.テスト内容数（テスト内容が空の場合は1）, IF(_xlpm.テスト内容数=0,1,_xlpm.テスト内容数),
_xlpm.詳細項目数&amp;"-"&amp;_xlpm.観点数&amp;"-"&amp;_xlpm.テスト内容数（テスト内容が空の場合は1）
)</f>
        <v/>
      </c>
      <c r="B180" s="40" t="inlineStr">
        <is>
          <t>ファイル操作</t>
        </is>
      </c>
      <c r="C180" s="40" t="inlineStr">
        <is>
          <t>実行結果</t>
        </is>
      </c>
      <c r="D180" s="287" t="inlineStr">
        <is>
          <t>削除</t>
        </is>
      </c>
      <c r="E180" s="99" t="inlineStr">
        <is>
          <t>-</t>
        </is>
      </c>
      <c r="F180" s="99" t="inlineStr">
        <is>
          <t>ファイルが削除されること。</t>
        </is>
      </c>
      <c r="G180" s="99" t="n"/>
      <c r="H180" s="99" t="n"/>
      <c r="I180" s="99" t="n"/>
      <c r="J180" s="82" t="n"/>
      <c r="K180" s="82" t="n"/>
      <c r="L180" s="82" t="n"/>
      <c r="M180" s="82" t="n"/>
      <c r="N180" s="82" t="n"/>
      <c r="O180" s="82" t="n"/>
      <c r="P180" s="82" t="n"/>
      <c r="Q180" s="82" t="n"/>
    </row>
    <row r="181" ht="22" customHeight="1">
      <c r="A181" s="38">
        <f t="array" ref="A18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_xlpm.テスト内容数（テスト内容が空の場合は1）, IF(_xlpm.テスト内容数=0,1,_xlpm.テスト内容数),
_xlpm.詳細項目数&amp;"-"&amp;_xlpm.観点数&amp;"-"&amp;_xlpm.テスト内容数（テスト内容が空の場合は1）
)</f>
        <v/>
      </c>
      <c r="B181" s="41" t="n"/>
      <c r="C181" s="52" t="n"/>
      <c r="D181" s="287" t="inlineStr">
        <is>
          <t>移動・リネーム</t>
        </is>
      </c>
      <c r="E181" s="99" t="inlineStr">
        <is>
          <t>-</t>
        </is>
      </c>
      <c r="F181" s="99" t="inlineStr">
        <is>
          <t>ファイルが移動、リネームされること。</t>
        </is>
      </c>
      <c r="G181" s="99" t="n"/>
      <c r="H181" s="99" t="n"/>
      <c r="I181" s="99" t="n"/>
      <c r="J181" s="82" t="n"/>
      <c r="K181" s="82" t="n"/>
      <c r="L181" s="82" t="n"/>
      <c r="M181" s="82" t="n"/>
      <c r="N181" s="82" t="n"/>
      <c r="O181" s="82" t="n"/>
      <c r="P181" s="82" t="n"/>
      <c r="Q181" s="82" t="n"/>
    </row>
    <row r="182" ht="22" customHeight="1">
      <c r="A182" s="38">
        <f t="array" ref="A182">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_xlpm.テスト内容数（テスト内容が空の場合は1）, IF(_xlpm.テスト内容数=0,1,_xlpm.テスト内容数),
_xlpm.詳細項目数&amp;"-"&amp;_xlpm.観点数&amp;"-"&amp;_xlpm.テスト内容数（テスト内容が空の場合は1）
)</f>
        <v/>
      </c>
      <c r="B182" s="50" t="n"/>
      <c r="C182" s="49" t="n"/>
      <c r="D182" s="49" t="inlineStr">
        <is>
          <t>コピー</t>
        </is>
      </c>
      <c r="E182" s="49" t="inlineStr">
        <is>
          <t>-</t>
        </is>
      </c>
      <c r="F182" s="99" t="inlineStr">
        <is>
          <t>ファイルがコピーされること。</t>
        </is>
      </c>
      <c r="G182" s="99" t="n"/>
      <c r="H182" s="99" t="n"/>
      <c r="I182" s="99" t="n"/>
      <c r="J182" s="82" t="n"/>
      <c r="K182" s="82" t="n"/>
      <c r="L182" s="82" t="n"/>
      <c r="M182" s="82" t="n"/>
      <c r="N182" s="82" t="n"/>
      <c r="O182" s="82" t="n"/>
      <c r="P182" s="82" t="n"/>
      <c r="Q182" s="82" t="n"/>
    </row>
    <row r="183" ht="22" customHeight="1">
      <c r="A183" s="38">
        <f t="array" ref="A183">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_xlpm.テスト内容数（テスト内容が空の場合は1）, IF(_xlpm.テスト内容数=0,1,_xlpm.テスト内容数),
_xlpm.詳細項目数&amp;"-"&amp;_xlpm.観点数&amp;"-"&amp;_xlpm.テスト内容数（テスト内容が空の場合は1）
)</f>
        <v/>
      </c>
      <c r="B183" s="40" t="inlineStr">
        <is>
          <t>メール処理</t>
        </is>
      </c>
      <c r="C183" s="40" t="inlineStr">
        <is>
          <t>実行結果</t>
        </is>
      </c>
      <c r="D183" s="40" t="inlineStr">
        <is>
          <t>-</t>
        </is>
      </c>
      <c r="E183" s="99" t="inlineStr">
        <is>
          <t>送信・転送</t>
        </is>
      </c>
      <c r="F183" s="99" t="inlineStr">
        <is>
          <t>指定した宛先（メールアドレス）への送信、転送が正常終了すること。</t>
        </is>
      </c>
      <c r="G183" s="99" t="n"/>
      <c r="H183" s="99" t="n"/>
      <c r="I183" s="99" t="n"/>
      <c r="J183" s="82" t="n"/>
      <c r="K183" s="82" t="n"/>
      <c r="L183" s="82" t="n"/>
      <c r="M183" s="82" t="n"/>
      <c r="N183" s="82" t="n"/>
      <c r="O183" s="82" t="n"/>
      <c r="P183" s="82" t="n"/>
      <c r="Q183" s="82" t="n"/>
    </row>
    <row r="184" ht="22" customHeight="1">
      <c r="A184" s="38">
        <f t="array" ref="A184">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_xlpm.テスト内容数（テスト内容が空の場合は1）, IF(_xlpm.テスト内容数=0,1,_xlpm.テスト内容数),
_xlpm.詳細項目数&amp;"-"&amp;_xlpm.観点数&amp;"-"&amp;_xlpm.テスト内容数（テスト内容が空の場合は1）
)</f>
        <v/>
      </c>
      <c r="B184" s="58" t="n"/>
      <c r="C184" s="58" t="n"/>
      <c r="D184" s="41" t="n"/>
      <c r="E184" s="41" t="inlineStr">
        <is>
          <t>桁数</t>
        </is>
      </c>
      <c r="F184" s="99" t="inlineStr">
        <is>
          <t>宛先（メールアドレス）に最大長がセットされた場合、送信、転送が正常終了すること。</t>
        </is>
      </c>
      <c r="G184" s="99" t="n"/>
      <c r="H184" s="99" t="n"/>
      <c r="I184" s="99" t="n"/>
      <c r="J184" s="82" t="n"/>
      <c r="K184" s="82" t="n"/>
      <c r="L184" s="82" t="n"/>
      <c r="M184" s="82" t="n"/>
      <c r="N184" s="82" t="n"/>
      <c r="O184" s="82" t="n"/>
      <c r="P184" s="82" t="n"/>
      <c r="Q184" s="82" t="n"/>
    </row>
    <row r="185" ht="22" customHeight="1">
      <c r="A185" s="38">
        <f t="array" ref="A185">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_xlpm.テスト内容数（テスト内容が空の場合は1）, IF(_xlpm.テスト内容数=0,1,_xlpm.テスト内容数),
_xlpm.詳細項目数&amp;"-"&amp;_xlpm.観点数&amp;"-"&amp;_xlpm.テスト内容数（テスト内容が空の場合は1）
)</f>
        <v/>
      </c>
      <c r="B185" s="58" t="n"/>
      <c r="C185" s="288" t="n"/>
      <c r="D185" s="41" t="n"/>
      <c r="E185" s="50" t="n"/>
      <c r="F185" s="99" t="inlineStr">
        <is>
          <t>件名に最大長がセットされた場合、送信、転送が正常終了すること。</t>
        </is>
      </c>
      <c r="G185" s="99" t="n"/>
      <c r="H185" s="99" t="n"/>
      <c r="I185" s="99" t="n"/>
      <c r="J185" s="82" t="n"/>
      <c r="K185" s="82" t="n"/>
      <c r="L185" s="82" t="n"/>
      <c r="M185" s="82" t="n"/>
      <c r="N185" s="82" t="n"/>
      <c r="O185" s="82" t="n"/>
      <c r="P185" s="82" t="n"/>
      <c r="Q185" s="82" t="n"/>
    </row>
    <row r="186" ht="22" customHeight="1">
      <c r="A186" s="38">
        <f t="array" ref="A186">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_xlpm.テスト内容数（テスト内容が空の場合は1）, IF(_xlpm.テスト内容数=0,1,_xlpm.テスト内容数),
_xlpm.詳細項目数&amp;"-"&amp;_xlpm.観点数&amp;"-"&amp;_xlpm.テスト内容数（テスト内容が空の場合は1）
)</f>
        <v/>
      </c>
      <c r="B186" s="58" t="n"/>
      <c r="C186" s="52" t="n"/>
      <c r="D186" s="41" t="n"/>
      <c r="E186" s="41" t="inlineStr">
        <is>
          <t>編集</t>
        </is>
      </c>
      <c r="F186" s="99" t="inlineStr">
        <is>
          <t>件名に改行・タブ・メタキャラクタ（ "，&amp;．&lt;，&gt;，',\ ）が含まれていた場合、送信、転送が正常終了すること。</t>
        </is>
      </c>
      <c r="G186" s="99" t="n"/>
      <c r="H186" s="99" t="n"/>
      <c r="I186" s="99" t="n"/>
      <c r="J186" s="82" t="n"/>
      <c r="K186" s="82" t="n"/>
      <c r="L186" s="82" t="n"/>
      <c r="M186" s="82" t="n"/>
      <c r="N186" s="82" t="n"/>
      <c r="O186" s="82" t="n"/>
      <c r="P186" s="82" t="n"/>
      <c r="Q186" s="82" t="n"/>
    </row>
    <row r="187" ht="22" customHeight="1">
      <c r="A187" s="38">
        <f t="array" ref="A187">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_xlpm.テスト内容数（テスト内容が空の場合は1）, IF(_xlpm.テスト内容数=0,1,_xlpm.テスト内容数),
_xlpm.詳細項目数&amp;"-"&amp;_xlpm.観点数&amp;"-"&amp;_xlpm.テスト内容数（テスト内容が空の場合は1）
)</f>
        <v/>
      </c>
      <c r="B187" s="58" t="n"/>
      <c r="C187" s="52" t="n"/>
      <c r="D187" s="289" t="n"/>
      <c r="E187" s="50" t="n"/>
      <c r="F187" s="99" t="inlineStr">
        <is>
          <t>本文に改行・タブ・メタキャラクタ（ "，&amp;．&lt;，&gt;，',\ ）が含まれていた場合、送信、転送が正常終了すること。</t>
        </is>
      </c>
      <c r="G187" s="99" t="n"/>
      <c r="H187" s="99" t="n"/>
      <c r="I187" s="99" t="n"/>
      <c r="J187" s="82" t="n"/>
      <c r="K187" s="82" t="n"/>
      <c r="L187" s="82" t="n"/>
      <c r="M187" s="82" t="n"/>
      <c r="N187" s="82" t="n"/>
      <c r="O187" s="82" t="n"/>
      <c r="P187" s="82" t="n"/>
      <c r="Q187" s="82" t="n"/>
    </row>
    <row r="188" ht="33" customHeight="1">
      <c r="A188" s="38">
        <f t="array" ref="A188">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_xlpm.テスト内容数（テスト内容が空の場合は1）, IF(_xlpm.テスト内容数=0,1,_xlpm.テスト内容数),
_xlpm.詳細項目数&amp;"-"&amp;_xlpm.観点数&amp;"-"&amp;_xlpm.テスト内容数（テスト内容が空の場合は1）
)</f>
        <v/>
      </c>
      <c r="B188" s="58" t="n"/>
      <c r="C188" s="49" t="n"/>
      <c r="D188" s="50" t="inlineStr">
        <is>
          <t>エラー</t>
        </is>
      </c>
      <c r="E188" s="50" t="inlineStr">
        <is>
          <t>-</t>
        </is>
      </c>
      <c r="F188" s="99" t="inlineStr">
        <is>
          <t>エラーが発生した場合、メールの送信結果が［システム機能設計書/共通コンポーネント設計書の記載通り］であること。</t>
        </is>
      </c>
      <c r="G188" s="99" t="n"/>
      <c r="H188" s="99" t="n"/>
      <c r="I188" s="99" t="n"/>
      <c r="J188" s="82" t="n"/>
      <c r="K188" s="82" t="n"/>
      <c r="L188" s="82" t="n"/>
      <c r="M188" s="82" t="n"/>
      <c r="N188" s="82" t="n"/>
      <c r="O188" s="82" t="n"/>
      <c r="P188" s="82" t="n"/>
      <c r="Q188" s="82" t="n"/>
    </row>
    <row r="189" ht="22" customHeight="1">
      <c r="A189" s="38">
        <f t="array" ref="A189">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_xlpm.テスト内容数（テスト内容が空の場合は1）, IF(_xlpm.テスト内容数=0,1,_xlpm.テスト内容数),
_xlpm.詳細項目数&amp;"-"&amp;_xlpm.観点数&amp;"-"&amp;_xlpm.テスト内容数（テスト内容が空の場合は1）
)</f>
        <v/>
      </c>
      <c r="B189" s="58" t="n"/>
      <c r="C189" s="52" t="inlineStr">
        <is>
          <t>メール編集</t>
        </is>
      </c>
      <c r="D189" s="41" t="inlineStr">
        <is>
          <t>ヘッダ</t>
        </is>
      </c>
      <c r="E189" s="41" t="inlineStr">
        <is>
          <t>設定</t>
        </is>
      </c>
      <c r="F189" s="99" t="inlineStr">
        <is>
          <t>ヘッダの宛先（To）に［メール設計書の記載通りの値］が設定されること。</t>
        </is>
      </c>
      <c r="G189" s="99" t="n"/>
      <c r="H189" s="99" t="n"/>
      <c r="I189" s="99" t="n"/>
      <c r="J189" s="82" t="n"/>
      <c r="K189" s="82" t="n"/>
      <c r="L189" s="82" t="n"/>
      <c r="M189" s="82" t="n"/>
      <c r="N189" s="82" t="n"/>
      <c r="O189" s="82" t="n"/>
      <c r="P189" s="82" t="n"/>
      <c r="Q189" s="82" t="n"/>
    </row>
    <row r="190" ht="22" customHeight="1">
      <c r="A190" s="38">
        <f t="array" ref="A190">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_xlpm.テスト内容数（テスト内容が空の場合は1）, IF(_xlpm.テスト内容数=0,1,_xlpm.テスト内容数),
_xlpm.詳細項目数&amp;"-"&amp;_xlpm.観点数&amp;"-"&amp;_xlpm.テスト内容数（テスト内容が空の場合は1）
)</f>
        <v/>
      </c>
      <c r="B190" s="58" t="n"/>
      <c r="C190" s="288" t="n"/>
      <c r="D190" s="41" t="n"/>
      <c r="E190" s="41" t="n"/>
      <c r="F190" s="99" t="inlineStr">
        <is>
          <t>ヘッダの宛先（Cc）に［メール設計書の記載通りの値］が設定されること。</t>
        </is>
      </c>
      <c r="G190" s="99" t="n"/>
      <c r="H190" s="99" t="n"/>
      <c r="I190" s="99" t="n"/>
      <c r="J190" s="82" t="n"/>
      <c r="K190" s="82" t="n"/>
      <c r="L190" s="82" t="n"/>
      <c r="M190" s="82" t="n"/>
      <c r="N190" s="82" t="n"/>
      <c r="O190" s="82" t="n"/>
      <c r="P190" s="82" t="n"/>
      <c r="Q190" s="82" t="n"/>
    </row>
    <row r="191" ht="22" customHeight="1">
      <c r="A191" s="38">
        <f t="array" ref="A19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_xlpm.テスト内容数（テスト内容が空の場合は1）, IF(_xlpm.テスト内容数=0,1,_xlpm.テスト内容数),
_xlpm.詳細項目数&amp;"-"&amp;_xlpm.観点数&amp;"-"&amp;_xlpm.テスト内容数（テスト内容が空の場合は1）
)</f>
        <v/>
      </c>
      <c r="B191" s="58" t="n"/>
      <c r="C191" s="288" t="n"/>
      <c r="D191" s="41" t="n"/>
      <c r="E191" s="41" t="n"/>
      <c r="F191" s="99" t="inlineStr">
        <is>
          <t>ヘッダの宛先（Bcc）に［メール設計書の記載通りの値］が設定されること。</t>
        </is>
      </c>
      <c r="G191" s="99" t="n"/>
      <c r="H191" s="99" t="n"/>
      <c r="I191" s="99" t="n"/>
      <c r="J191" s="82" t="n"/>
      <c r="K191" s="82" t="n"/>
      <c r="L191" s="82" t="n"/>
      <c r="M191" s="82" t="n"/>
      <c r="N191" s="82" t="n"/>
      <c r="O191" s="82" t="n"/>
      <c r="P191" s="82" t="n"/>
      <c r="Q191" s="82" t="n"/>
    </row>
    <row r="192" ht="22" customHeight="1">
      <c r="A192" s="38">
        <f t="array" ref="A192">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_xlpm.テスト内容数（テスト内容が空の場合は1）, IF(_xlpm.テスト内容数=0,1,_xlpm.テスト内容数),
_xlpm.詳細項目数&amp;"-"&amp;_xlpm.観点数&amp;"-"&amp;_xlpm.テスト内容数（テスト内容が空の場合は1）
)</f>
        <v/>
      </c>
      <c r="B192" s="58" t="n"/>
      <c r="C192" s="288" t="n"/>
      <c r="D192" s="41" t="n"/>
      <c r="E192" s="41" t="n"/>
      <c r="F192" s="99" t="inlineStr">
        <is>
          <t>ヘッダの送信元（From）に［メール設計書の記載通りの値］が設定されること。</t>
        </is>
      </c>
      <c r="G192" s="99" t="n"/>
      <c r="H192" s="99" t="n"/>
      <c r="I192" s="99" t="n"/>
      <c r="J192" s="82" t="n"/>
      <c r="K192" s="82" t="n"/>
      <c r="L192" s="82" t="n"/>
      <c r="M192" s="82" t="n"/>
      <c r="N192" s="82" t="n"/>
      <c r="O192" s="82" t="n"/>
      <c r="P192" s="82" t="n"/>
      <c r="Q192" s="82" t="n"/>
    </row>
    <row r="193" ht="22" customHeight="1">
      <c r="A193" s="38">
        <f t="array" ref="A193">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_xlpm.テスト内容数（テスト内容が空の場合は1）, IF(_xlpm.テスト内容数=0,1,_xlpm.テスト内容数),
_xlpm.詳細項目数&amp;"-"&amp;_xlpm.観点数&amp;"-"&amp;_xlpm.テスト内容数（テスト内容が空の場合は1）
)</f>
        <v/>
      </c>
      <c r="B193" s="58" t="n"/>
      <c r="C193" s="288" t="n"/>
      <c r="D193" s="41" t="n"/>
      <c r="E193" s="41" t="n"/>
      <c r="F193" s="99" t="inlineStr">
        <is>
          <t>ヘッダの返信先（Reply-to）に［メール設計書の記載通りの値］が設定されること。</t>
        </is>
      </c>
      <c r="G193" s="99" t="n"/>
      <c r="H193" s="99" t="n"/>
      <c r="I193" s="99" t="n"/>
      <c r="J193" s="82" t="n"/>
      <c r="K193" s="82" t="n"/>
      <c r="L193" s="82" t="n"/>
      <c r="M193" s="82" t="n"/>
      <c r="N193" s="82" t="n"/>
      <c r="O193" s="82" t="n"/>
      <c r="P193" s="82" t="n"/>
      <c r="Q193" s="82" t="n"/>
    </row>
    <row r="194" ht="22" customHeight="1">
      <c r="A194" s="38">
        <f t="array" ref="A194">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_xlpm.テスト内容数（テスト内容が空の場合は1）, IF(_xlpm.テスト内容数=0,1,_xlpm.テスト内容数),
_xlpm.詳細項目数&amp;"-"&amp;_xlpm.観点数&amp;"-"&amp;_xlpm.テスト内容数（テスト内容が空の場合は1）
)</f>
        <v/>
      </c>
      <c r="B194" s="58" t="n"/>
      <c r="C194" s="288" t="n"/>
      <c r="D194" s="41" t="n"/>
      <c r="E194" s="41" t="n"/>
      <c r="F194" s="99" t="inlineStr">
        <is>
          <t>ヘッダの差戻し先（Retuern-path）に［メール設計書の記載通りの値］が設定されること。</t>
        </is>
      </c>
      <c r="G194" s="99" t="n"/>
      <c r="H194" s="99" t="n"/>
      <c r="I194" s="99" t="n"/>
      <c r="J194" s="82" t="n"/>
      <c r="K194" s="82" t="n"/>
      <c r="L194" s="82" t="n"/>
      <c r="M194" s="82" t="n"/>
      <c r="N194" s="82" t="n"/>
      <c r="O194" s="82" t="n"/>
      <c r="P194" s="82" t="n"/>
      <c r="Q194" s="82" t="n"/>
    </row>
    <row r="195" ht="22" customHeight="1">
      <c r="A195" s="38">
        <f t="array" ref="A195">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_xlpm.テスト内容数（テスト内容が空の場合は1）, IF(_xlpm.テスト内容数=0,1,_xlpm.テスト内容数),
_xlpm.詳細項目数&amp;"-"&amp;_xlpm.観点数&amp;"-"&amp;_xlpm.テスト内容数（テスト内容が空の場合は1）
)</f>
        <v/>
      </c>
      <c r="B195" s="58" t="n"/>
      <c r="C195" s="288" t="n"/>
      <c r="D195" s="41" t="n"/>
      <c r="E195" s="50" t="n"/>
      <c r="F195" s="99" t="inlineStr">
        <is>
          <t>ヘッダのContent-Typeに［メール設計書の記載通りの値］が設定されること。</t>
        </is>
      </c>
      <c r="G195" s="99" t="n"/>
      <c r="H195" s="99" t="n"/>
      <c r="I195" s="99" t="n"/>
      <c r="J195" s="82" t="n"/>
      <c r="K195" s="82" t="n"/>
      <c r="L195" s="82" t="n"/>
      <c r="M195" s="82" t="n"/>
      <c r="N195" s="82" t="n"/>
      <c r="O195" s="82" t="n"/>
      <c r="P195" s="82" t="n"/>
      <c r="Q195" s="82" t="n"/>
    </row>
    <row r="196" ht="22" customHeight="1">
      <c r="A196" s="38">
        <f t="array" ref="A196">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_xlpm.テスト内容数（テスト内容が空の場合は1）, IF(_xlpm.テスト内容数=0,1,_xlpm.テスト内容数),
_xlpm.詳細項目数&amp;"-"&amp;_xlpm.観点数&amp;"-"&amp;_xlpm.テスト内容数（テスト内容が空の場合は1）
)</f>
        <v/>
      </c>
      <c r="B196" s="58" t="n"/>
      <c r="C196" s="58" t="n"/>
      <c r="D196" s="50" t="n"/>
      <c r="E196" s="50" t="inlineStr">
        <is>
          <t>エンコーディング</t>
        </is>
      </c>
      <c r="F196" s="99" t="inlineStr">
        <is>
          <t>ヘッダがエンコードされること。</t>
        </is>
      </c>
      <c r="G196" s="99" t="n"/>
      <c r="H196" s="99" t="n"/>
      <c r="I196" s="99" t="n"/>
      <c r="J196" s="82" t="n"/>
      <c r="K196" s="82" t="n"/>
      <c r="L196" s="82" t="n"/>
      <c r="M196" s="82" t="n"/>
      <c r="N196" s="82" t="n"/>
      <c r="O196" s="82" t="n"/>
      <c r="P196" s="82" t="n"/>
      <c r="Q196" s="82" t="n"/>
    </row>
    <row r="197" ht="22" customHeight="1">
      <c r="A197" s="38">
        <f t="array" ref="A197">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_xlpm.テスト内容数（テスト内容が空の場合は1）, IF(_xlpm.テスト内容数=0,1,_xlpm.テスト内容数),
_xlpm.詳細項目数&amp;"-"&amp;_xlpm.観点数&amp;"-"&amp;_xlpm.テスト内容数（テスト内容が空の場合は1）
)</f>
        <v/>
      </c>
      <c r="B197" s="58" t="n"/>
      <c r="C197" s="58" t="n"/>
      <c r="D197" s="41" t="inlineStr">
        <is>
          <t>件名</t>
        </is>
      </c>
      <c r="E197" s="41" t="inlineStr">
        <is>
          <t>編集仕様</t>
        </is>
      </c>
      <c r="F197" s="99" t="inlineStr">
        <is>
          <t>件名が固定の文言の場合、件名に設定された文言が［メール設計書の記載通り］であること。</t>
        </is>
      </c>
      <c r="G197" s="99" t="n"/>
      <c r="H197" s="99" t="n"/>
      <c r="I197" s="99" t="n"/>
      <c r="J197" s="82" t="n"/>
      <c r="K197" s="82" t="n"/>
      <c r="L197" s="82" t="n"/>
      <c r="M197" s="82" t="n"/>
      <c r="N197" s="82" t="n"/>
      <c r="O197" s="82" t="n"/>
      <c r="P197" s="82" t="n"/>
      <c r="Q197" s="82" t="n"/>
    </row>
    <row r="198" ht="22" customHeight="1">
      <c r="A198" s="38">
        <f t="array" ref="A198">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_xlpm.テスト内容数（テスト内容が空の場合は1）, IF(_xlpm.テスト内容数=0,1,_xlpm.テスト内容数),
_xlpm.詳細項目数&amp;"-"&amp;_xlpm.観点数&amp;"-"&amp;_xlpm.テスト内容数（テスト内容が空の場合は1）
)</f>
        <v/>
      </c>
      <c r="B198" s="58" t="n"/>
      <c r="C198" s="58" t="n"/>
      <c r="D198" s="41" t="n"/>
      <c r="E198" s="41" t="n"/>
      <c r="F198" s="99" t="inlineStr">
        <is>
          <t>件名に埋め込み項目を使用する場合、件名に設定された値が［メール設計書の記載通り］であること。</t>
        </is>
      </c>
      <c r="G198" s="99" t="n"/>
      <c r="H198" s="99" t="n"/>
      <c r="I198" s="99" t="n"/>
      <c r="J198" s="82" t="n"/>
      <c r="K198" s="82" t="n"/>
      <c r="L198" s="82" t="n"/>
      <c r="M198" s="82" t="n"/>
      <c r="N198" s="82" t="n"/>
      <c r="O198" s="82" t="n"/>
      <c r="P198" s="82" t="n"/>
      <c r="Q198" s="82" t="n"/>
    </row>
    <row r="199" ht="22" customHeight="1">
      <c r="A199" s="38">
        <f t="array" ref="A199">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_xlpm.テスト内容数（テスト内容が空の場合は1）, IF(_xlpm.テスト内容数=0,1,_xlpm.テスト内容数),
_xlpm.詳細項目数&amp;"-"&amp;_xlpm.観点数&amp;"-"&amp;_xlpm.テスト内容数（テスト内容が空の場合は1）
)</f>
        <v/>
      </c>
      <c r="B199" s="58" t="n"/>
      <c r="C199" s="58" t="n"/>
      <c r="D199" s="41" t="n"/>
      <c r="E199" s="41" t="n"/>
      <c r="F199" s="99" t="inlineStr">
        <is>
          <t>埋め込み必須項目が未入力の場合、エラーとなること。</t>
        </is>
      </c>
      <c r="G199" s="99" t="n"/>
      <c r="H199" s="99" t="n"/>
      <c r="I199" s="99" t="n"/>
      <c r="J199" s="82" t="n"/>
      <c r="K199" s="82" t="n"/>
      <c r="L199" s="82" t="n"/>
      <c r="M199" s="82" t="n"/>
      <c r="N199" s="82" t="n"/>
      <c r="O199" s="82" t="n"/>
      <c r="P199" s="82" t="n"/>
      <c r="Q199" s="82" t="n"/>
    </row>
    <row r="200" ht="22" customHeight="1">
      <c r="A200" s="38">
        <f t="array" ref="A200">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_xlpm.テスト内容数（テスト内容が空の場合は1）, IF(_xlpm.テスト内容数=0,1,_xlpm.テスト内容数),
_xlpm.詳細項目数&amp;"-"&amp;_xlpm.観点数&amp;"-"&amp;_xlpm.テスト内容数（テスト内容が空の場合は1）
)</f>
        <v/>
      </c>
      <c r="B200" s="58" t="n"/>
      <c r="C200" s="58" t="n"/>
      <c r="D200" s="41" t="n"/>
      <c r="E200" s="41" t="n"/>
      <c r="F200" s="99" t="inlineStr">
        <is>
          <t>埋め込み任意項目が未入力の場合、エラーとならないこと。</t>
        </is>
      </c>
      <c r="G200" s="99" t="n"/>
      <c r="H200" s="99" t="n"/>
      <c r="I200" s="99" t="n"/>
      <c r="J200" s="82" t="n"/>
      <c r="K200" s="82" t="n"/>
      <c r="L200" s="82" t="n"/>
      <c r="M200" s="82" t="n"/>
      <c r="N200" s="82" t="n"/>
      <c r="O200" s="82" t="n"/>
      <c r="P200" s="82" t="n"/>
      <c r="Q200" s="82" t="n"/>
    </row>
    <row r="201" ht="33" customHeight="1">
      <c r="A201" s="38">
        <f t="array" ref="A20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_xlpm.テスト内容数（テスト内容が空の場合は1）, IF(_xlpm.テスト内容数=0,1,_xlpm.テスト内容数),
_xlpm.詳細項目数&amp;"-"&amp;_xlpm.観点数&amp;"-"&amp;_xlpm.テスト内容数（テスト内容が空の場合は1）
)</f>
        <v/>
      </c>
      <c r="B201" s="58" t="n"/>
      <c r="C201" s="58" t="n"/>
      <c r="D201" s="41" t="n"/>
      <c r="E201" s="41" t="n"/>
      <c r="F201" s="99" t="inlineStr">
        <is>
          <t>取得した値を変換する設計となっている場合、件名に設定された値が［システム機能設計書/共通コンポーネント設計書/メール設計書の記載通り］であること。</t>
        </is>
      </c>
      <c r="G201" s="99" t="n"/>
      <c r="H201" s="99" t="n"/>
      <c r="I201" s="99" t="n"/>
      <c r="J201" s="82" t="n"/>
      <c r="K201" s="82" t="n"/>
      <c r="L201" s="82" t="n"/>
      <c r="M201" s="82" t="n"/>
      <c r="N201" s="82" t="n"/>
      <c r="O201" s="82" t="n"/>
      <c r="P201" s="82" t="n"/>
      <c r="Q201" s="82" t="n"/>
    </row>
    <row r="202" ht="33" customHeight="1">
      <c r="A202" s="38">
        <f t="array" ref="A202">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_xlpm.テスト内容数（テスト内容が空の場合は1）, IF(_xlpm.テスト内容数=0,1,_xlpm.テスト内容数),
_xlpm.詳細項目数&amp;"-"&amp;_xlpm.観点数&amp;"-"&amp;_xlpm.テスト内容数（テスト内容が空の場合は1）
)</f>
        <v/>
      </c>
      <c r="B202" s="58" t="n"/>
      <c r="C202" s="58" t="n"/>
      <c r="D202" s="41" t="n"/>
      <c r="E202" s="41" t="n"/>
      <c r="F202" s="99" t="inlineStr">
        <is>
          <t>取得した値を編集する処理が分岐する設計となっている場合、件名に設定された値が［システム機能設計書/共通コンポーネント設計書/メール設計書の記載通り］であること。</t>
        </is>
      </c>
      <c r="G202" s="99" t="n"/>
      <c r="H202" s="99" t="n"/>
      <c r="I202" s="99" t="n"/>
      <c r="J202" s="82" t="n"/>
      <c r="K202" s="82" t="n"/>
      <c r="L202" s="82" t="n"/>
      <c r="M202" s="82" t="n"/>
      <c r="N202" s="82" t="n"/>
      <c r="O202" s="82" t="n"/>
      <c r="P202" s="82" t="n"/>
      <c r="Q202" s="82" t="n"/>
    </row>
    <row r="203" ht="44" customHeight="1">
      <c r="A203" s="38">
        <f t="array" ref="A203">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_xlpm.テスト内容数（テスト内容が空の場合は1）, IF(_xlpm.テスト内容数=0,1,_xlpm.テスト内容数),
_xlpm.詳細項目数&amp;"-"&amp;_xlpm.観点数&amp;"-"&amp;_xlpm.テスト内容数（テスト内容が空の場合は1）
)</f>
        <v/>
      </c>
      <c r="B203" s="58" t="n"/>
      <c r="C203" s="58" t="n"/>
      <c r="D203" s="41" t="n"/>
      <c r="E203" s="41" t="n"/>
      <c r="F203" s="99" t="inlineStr">
        <is>
          <t>ループ処理によって、取得した値の編集を繰り返す設計となっている場合、件名に設定された値が［システム機能設計書/共通コンポーネント設計書/メール設計書の記載通り］であること。</t>
        </is>
      </c>
      <c r="G203" s="99" t="n"/>
      <c r="H203" s="99" t="n"/>
      <c r="I203" s="99" t="n"/>
      <c r="J203" s="82" t="n"/>
      <c r="K203" s="82" t="n"/>
      <c r="L203" s="82" t="n"/>
      <c r="M203" s="82" t="n"/>
      <c r="N203" s="82" t="n"/>
      <c r="O203" s="82" t="n"/>
      <c r="P203" s="82" t="n"/>
      <c r="Q203" s="82" t="n"/>
    </row>
    <row r="204" ht="33" customHeight="1">
      <c r="A204" s="38">
        <f t="array" ref="A204">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_xlpm.テスト内容数（テスト内容が空の場合は1）, IF(_xlpm.テスト内容数=0,1,_xlpm.テスト内容数),
_xlpm.詳細項目数&amp;"-"&amp;_xlpm.観点数&amp;"-"&amp;_xlpm.テスト内容数（テスト内容が空の場合は1）
)</f>
        <v/>
      </c>
      <c r="B204" s="58" t="n"/>
      <c r="C204" s="58" t="n"/>
      <c r="D204" s="41" t="n"/>
      <c r="E204" s="41" t="n"/>
      <c r="F204" s="99" t="inlineStr">
        <is>
          <t>取得した値を使用して計算する設計となっている場合、件名に設定された値が［システム機能設計書/共通コンポーネント設計書/メール設計書の記載通り］であること。</t>
        </is>
      </c>
      <c r="G204" s="99" t="n"/>
      <c r="H204" s="99" t="n"/>
      <c r="I204" s="99" t="n"/>
      <c r="J204" s="82" t="n"/>
      <c r="K204" s="82" t="n"/>
      <c r="L204" s="82" t="n"/>
      <c r="M204" s="82" t="n"/>
      <c r="N204" s="82" t="n"/>
      <c r="O204" s="82" t="n"/>
      <c r="P204" s="82" t="n"/>
      <c r="Q204" s="82" t="n"/>
    </row>
    <row r="205" ht="33" customHeight="1">
      <c r="A205" s="38">
        <f t="array" ref="A205">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_xlpm.テスト内容数（テスト内容が空の場合は1）, IF(_xlpm.テスト内容数=0,1,_xlpm.テスト内容数),
_xlpm.詳細項目数&amp;"-"&amp;_xlpm.観点数&amp;"-"&amp;_xlpm.テスト内容数（テスト内容が空の場合は1）
)</f>
        <v/>
      </c>
      <c r="B205" s="58" t="n"/>
      <c r="C205" s="58" t="n"/>
      <c r="D205" s="41" t="n"/>
      <c r="E205" s="41" t="n"/>
      <c r="F205" s="99" t="inlineStr">
        <is>
          <t>取得した値を連結する設計となっている場合、件名に設定された値が［システム機能設計書/共通コンポーネント設計書/メール設計書の記載通り］であること。</t>
        </is>
      </c>
      <c r="G205" s="99" t="n"/>
      <c r="H205" s="99" t="n"/>
      <c r="I205" s="99" t="n"/>
      <c r="J205" s="82" t="n"/>
      <c r="K205" s="82" t="n"/>
      <c r="L205" s="82" t="n"/>
      <c r="M205" s="82" t="n"/>
      <c r="N205" s="82" t="n"/>
      <c r="O205" s="82" t="n"/>
      <c r="P205" s="82" t="n"/>
      <c r="Q205" s="82" t="n"/>
    </row>
    <row r="206" ht="22" customHeight="1">
      <c r="A206" s="38">
        <f t="array" ref="A206">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_xlpm.テスト内容数（テスト内容が空の場合は1）, IF(_xlpm.テスト内容数=0,1,_xlpm.テスト内容数),
_xlpm.詳細項目数&amp;"-"&amp;_xlpm.観点数&amp;"-"&amp;_xlpm.テスト内容数（テスト内容が空の場合は1）
)</f>
        <v/>
      </c>
      <c r="B206" s="58" t="n"/>
      <c r="C206" s="58" t="n"/>
      <c r="D206" s="41" t="n"/>
      <c r="E206" s="41" t="n"/>
      <c r="F206" s="99" t="inlineStr">
        <is>
          <t>取得した値を暗号化する設計となっている場合、件名に設定された値が暗号化されること。</t>
        </is>
      </c>
      <c r="G206" s="99" t="n"/>
      <c r="H206" s="99" t="n"/>
      <c r="I206" s="99" t="n"/>
      <c r="J206" s="82" t="n"/>
      <c r="K206" s="82" t="n"/>
      <c r="L206" s="82" t="n"/>
      <c r="M206" s="82" t="n"/>
      <c r="N206" s="82" t="n"/>
      <c r="O206" s="82" t="n"/>
      <c r="P206" s="82" t="n"/>
      <c r="Q206" s="82" t="n"/>
    </row>
    <row r="207" ht="22" customHeight="1">
      <c r="A207" s="38">
        <f t="array" ref="A207">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_xlpm.テスト内容数（テスト内容が空の場合は1）, IF(_xlpm.テスト内容数=0,1,_xlpm.テスト内容数),
_xlpm.詳細項目数&amp;"-"&amp;_xlpm.観点数&amp;"-"&amp;_xlpm.テスト内容数（テスト内容が空の場合は1）
)</f>
        <v/>
      </c>
      <c r="B207" s="58" t="n"/>
      <c r="C207" s="58" t="n"/>
      <c r="D207" s="41" t="n"/>
      <c r="E207" s="41" t="n"/>
      <c r="F207" s="99" t="inlineStr">
        <is>
          <t>取得した値をマスキングする設計となっている場合、件名に設定された値がマスキングされること。</t>
        </is>
      </c>
      <c r="G207" s="99" t="n"/>
      <c r="H207" s="99" t="n"/>
      <c r="I207" s="99" t="n"/>
      <c r="J207" s="82" t="n"/>
      <c r="K207" s="82" t="n"/>
      <c r="L207" s="82" t="n"/>
      <c r="M207" s="82" t="n"/>
      <c r="N207" s="82" t="n"/>
      <c r="O207" s="82" t="n"/>
      <c r="P207" s="82" t="n"/>
      <c r="Q207" s="82" t="n"/>
    </row>
    <row r="208" ht="33" customHeight="1">
      <c r="A208" s="38">
        <f t="array" ref="A208">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_xlpm.テスト内容数（テスト内容が空の場合は1）, IF(_xlpm.テスト内容数=0,1,_xlpm.テスト内容数),
_xlpm.詳細項目数&amp;"-"&amp;_xlpm.観点数&amp;"-"&amp;_xlpm.テスト内容数（テスト内容が空の場合は1）
)</f>
        <v/>
      </c>
      <c r="B208" s="58" t="n"/>
      <c r="C208" s="58" t="n"/>
      <c r="D208" s="41" t="n"/>
      <c r="E208" s="41" t="n"/>
      <c r="F208" s="99" t="inlineStr">
        <is>
          <t>取得した値に改行、タブ、メタキャラクタが含まれる場合、件名に設定された値がエンコーディング、サニタイジングされること。</t>
        </is>
      </c>
      <c r="G208" s="99" t="n"/>
      <c r="H208" s="99" t="n"/>
      <c r="I208" s="99" t="n"/>
      <c r="J208" s="82" t="n"/>
      <c r="K208" s="82" t="n"/>
      <c r="L208" s="82" t="n"/>
      <c r="M208" s="82" t="n"/>
      <c r="N208" s="82" t="n"/>
      <c r="O208" s="82" t="n"/>
      <c r="P208" s="82" t="n"/>
      <c r="Q208" s="82" t="n"/>
    </row>
    <row r="209" ht="22" customHeight="1">
      <c r="A209" s="38">
        <f t="array" ref="A209">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_xlpm.テスト内容数（テスト内容が空の場合は1）, IF(_xlpm.テスト内容数=0,1,_xlpm.テスト内容数),
_xlpm.詳細項目数&amp;"-"&amp;_xlpm.観点数&amp;"-"&amp;_xlpm.テスト内容数（テスト内容が空の場合は1）
)</f>
        <v/>
      </c>
      <c r="B209" s="41" t="n"/>
      <c r="C209" s="58" t="n"/>
      <c r="D209" s="50" t="n"/>
      <c r="E209" s="50" t="n"/>
      <c r="F209" s="99" t="inlineStr">
        <is>
          <t>埋め込み項目の編集仕様が［メール設計書の記載通り］であること。</t>
        </is>
      </c>
      <c r="G209" s="99" t="n"/>
      <c r="H209" s="99" t="n"/>
      <c r="I209" s="99" t="n"/>
      <c r="J209" s="82" t="n"/>
      <c r="K209" s="82" t="n"/>
      <c r="L209" s="82" t="n"/>
      <c r="M209" s="82" t="n"/>
      <c r="N209" s="82" t="n"/>
      <c r="O209" s="82" t="n"/>
      <c r="P209" s="82" t="n"/>
      <c r="Q209" s="82" t="n"/>
    </row>
    <row r="210" ht="22" customHeight="1">
      <c r="A210" s="38">
        <f t="array" ref="A210">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_xlpm.テスト内容数（テスト内容が空の場合は1）, IF(_xlpm.テスト内容数=0,1,_xlpm.テスト内容数),
_xlpm.詳細項目数&amp;"-"&amp;_xlpm.観点数&amp;"-"&amp;_xlpm.テスト内容数（テスト内容が空の場合は1）
)</f>
        <v/>
      </c>
      <c r="B210" s="41" t="n"/>
      <c r="C210" s="58" t="n"/>
      <c r="D210" s="40" t="inlineStr">
        <is>
          <t>本文</t>
        </is>
      </c>
      <c r="E210" s="40" t="inlineStr">
        <is>
          <t>編集仕様</t>
        </is>
      </c>
      <c r="F210" s="99" t="inlineStr">
        <is>
          <t>本文が固定の文言の場合、本文に設定された文言が［メール設計書の記載通り］であること。</t>
        </is>
      </c>
      <c r="G210" s="99" t="n"/>
      <c r="H210" s="99" t="n"/>
      <c r="I210" s="99" t="n"/>
      <c r="J210" s="82" t="n"/>
      <c r="K210" s="82" t="n"/>
      <c r="L210" s="82" t="n"/>
      <c r="M210" s="82" t="n"/>
      <c r="N210" s="82" t="n"/>
      <c r="O210" s="82" t="n"/>
      <c r="P210" s="82" t="n"/>
      <c r="Q210" s="82" t="n"/>
    </row>
    <row r="211" ht="22" customHeight="1">
      <c r="A211" s="38">
        <f t="array" ref="A21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_xlpm.テスト内容数（テスト内容が空の場合は1）, IF(_xlpm.テスト内容数=0,1,_xlpm.テスト内容数),
_xlpm.詳細項目数&amp;"-"&amp;_xlpm.観点数&amp;"-"&amp;_xlpm.テスト内容数（テスト内容が空の場合は1）
)</f>
        <v/>
      </c>
      <c r="B211" s="58" t="n"/>
      <c r="C211" s="58" t="n"/>
      <c r="D211" s="41" t="n"/>
      <c r="E211" s="41" t="n"/>
      <c r="F211" s="99" t="inlineStr">
        <is>
          <t>本文に埋め込み項目を使用する場合、本文に設定された値が［メール設計書の記載通り］であること。</t>
        </is>
      </c>
      <c r="G211" s="99" t="n"/>
      <c r="H211" s="99" t="n"/>
      <c r="I211" s="99" t="n"/>
      <c r="J211" s="82" t="n"/>
      <c r="K211" s="82" t="n"/>
      <c r="L211" s="82" t="n"/>
      <c r="M211" s="82" t="n"/>
      <c r="N211" s="82" t="n"/>
      <c r="O211" s="82" t="n"/>
      <c r="P211" s="82" t="n"/>
      <c r="Q211" s="82" t="n"/>
    </row>
    <row r="212" ht="22" customHeight="1">
      <c r="A212" s="38">
        <f t="array" ref="A212">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_xlpm.テスト内容数（テスト内容が空の場合は1）, IF(_xlpm.テスト内容数=0,1,_xlpm.テスト内容数),
_xlpm.詳細項目数&amp;"-"&amp;_xlpm.観点数&amp;"-"&amp;_xlpm.テスト内容数（テスト内容が空の場合は1）
)</f>
        <v/>
      </c>
      <c r="B212" s="58" t="n"/>
      <c r="C212" s="58" t="n"/>
      <c r="D212" s="41" t="n"/>
      <c r="E212" s="41" t="n"/>
      <c r="F212" s="99" t="inlineStr">
        <is>
          <t>本文のデザインが［メール設計書の記載通り］であること。</t>
        </is>
      </c>
      <c r="G212" s="99" t="n"/>
      <c r="H212" s="99" t="n"/>
      <c r="I212" s="99" t="n"/>
      <c r="J212" s="82" t="n"/>
      <c r="K212" s="82" t="n"/>
      <c r="L212" s="82" t="n"/>
      <c r="M212" s="82" t="n"/>
      <c r="N212" s="82" t="n"/>
      <c r="O212" s="82" t="n"/>
      <c r="P212" s="82" t="n"/>
      <c r="Q212" s="82" t="n"/>
    </row>
    <row r="213" ht="22" customHeight="1">
      <c r="A213" s="38">
        <f t="array" ref="A213">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_xlpm.テスト内容数（テスト内容が空の場合は1）, IF(_xlpm.テスト内容数=0,1,_xlpm.テスト内容数),
_xlpm.詳細項目数&amp;"-"&amp;_xlpm.観点数&amp;"-"&amp;_xlpm.テスト内容数（テスト内容が空の場合は1）
)</f>
        <v/>
      </c>
      <c r="B213" s="58" t="n"/>
      <c r="C213" s="58" t="n"/>
      <c r="D213" s="41" t="n"/>
      <c r="E213" s="41" t="n"/>
      <c r="F213" s="99" t="inlineStr">
        <is>
          <t>埋め込み必須項目が未入力の場合、エラーとなること。</t>
        </is>
      </c>
      <c r="G213" s="99" t="n"/>
      <c r="H213" s="99" t="n"/>
      <c r="I213" s="99" t="n"/>
      <c r="J213" s="82" t="n"/>
      <c r="K213" s="82" t="n"/>
      <c r="L213" s="82" t="n"/>
      <c r="M213" s="82" t="n"/>
      <c r="N213" s="82" t="n"/>
      <c r="O213" s="82" t="n"/>
      <c r="P213" s="82" t="n"/>
      <c r="Q213" s="82" t="n"/>
    </row>
    <row r="214" ht="22" customHeight="1">
      <c r="A214" s="38">
        <f t="array" ref="A214">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_xlpm.テスト内容数（テスト内容が空の場合は1）, IF(_xlpm.テスト内容数=0,1,_xlpm.テスト内容数),
_xlpm.詳細項目数&amp;"-"&amp;_xlpm.観点数&amp;"-"&amp;_xlpm.テスト内容数（テスト内容が空の場合は1）
)</f>
        <v/>
      </c>
      <c r="B214" s="58" t="n"/>
      <c r="C214" s="58" t="n"/>
      <c r="D214" s="41" t="n"/>
      <c r="E214" s="41" t="n"/>
      <c r="F214" s="99" t="inlineStr">
        <is>
          <t>埋め込み任意項目が未入力の場合、エラーとならないこと。</t>
        </is>
      </c>
      <c r="G214" s="99" t="n"/>
      <c r="H214" s="99" t="n"/>
      <c r="I214" s="99" t="n"/>
      <c r="J214" s="82" t="n"/>
      <c r="K214" s="82" t="n"/>
      <c r="L214" s="82" t="n"/>
      <c r="M214" s="82" t="n"/>
      <c r="N214" s="82" t="n"/>
      <c r="O214" s="82" t="n"/>
      <c r="P214" s="82" t="n"/>
      <c r="Q214" s="82" t="n"/>
    </row>
    <row r="215" ht="44" customHeight="1">
      <c r="A215" s="38">
        <f t="array" ref="A215">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_xlpm.テスト内容数（テスト内容が空の場合は1）, IF(_xlpm.テスト内容数=0,1,_xlpm.テスト内容数),
_xlpm.詳細項目数&amp;"-"&amp;_xlpm.観点数&amp;"-"&amp;_xlpm.テスト内容数（テスト内容が空の場合は1）
)</f>
        <v/>
      </c>
      <c r="B215" s="58" t="n"/>
      <c r="C215" s="58" t="n"/>
      <c r="D215" s="41" t="n"/>
      <c r="E215" s="41" t="n"/>
      <c r="F215" s="99" t="inlineStr">
        <is>
          <t>本文にエラーメッセージを出力する場合、本文に出力されたメッセージが［システム機能設計書/共通コンポーネント設計書/メール設計書/メッセージ設計書の記載通り］であること。</t>
        </is>
      </c>
      <c r="G215" s="99" t="n"/>
      <c r="H215" s="99" t="n"/>
      <c r="I215" s="99" t="n"/>
      <c r="J215" s="82" t="n"/>
      <c r="K215" s="82" t="n"/>
      <c r="L215" s="82" t="n"/>
      <c r="M215" s="82" t="n"/>
      <c r="N215" s="82" t="n"/>
      <c r="O215" s="82" t="n"/>
      <c r="P215" s="82" t="n"/>
      <c r="Q215" s="82" t="n"/>
    </row>
    <row r="216" ht="33" customHeight="1">
      <c r="A216" s="38">
        <f t="array" ref="A216">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_xlpm.テスト内容数（テスト内容が空の場合は1）, IF(_xlpm.テスト内容数=0,1,_xlpm.テスト内容数),
_xlpm.詳細項目数&amp;"-"&amp;_xlpm.観点数&amp;"-"&amp;_xlpm.テスト内容数（テスト内容が空の場合は1）
)</f>
        <v/>
      </c>
      <c r="B216" s="58" t="n"/>
      <c r="C216" s="58" t="n"/>
      <c r="D216" s="41" t="n"/>
      <c r="E216" s="41" t="n"/>
      <c r="F216" s="99" t="inlineStr">
        <is>
          <t>取得した値を変換する設計となっている場合、本文に設定された値が［システム機能設計書/共通コンポーネント設計書/メール設計書の記載通り］であること。</t>
        </is>
      </c>
      <c r="G216" s="99" t="n"/>
      <c r="H216" s="99" t="n"/>
      <c r="I216" s="99" t="n"/>
      <c r="J216" s="82" t="n"/>
      <c r="K216" s="82" t="n"/>
      <c r="L216" s="82" t="n"/>
      <c r="M216" s="82" t="n"/>
      <c r="N216" s="82" t="n"/>
      <c r="O216" s="82" t="n"/>
      <c r="P216" s="82" t="n"/>
      <c r="Q216" s="82" t="n"/>
    </row>
    <row r="217" ht="33" customHeight="1">
      <c r="A217" s="38">
        <f t="array" ref="A217">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_xlpm.テスト内容数（テスト内容が空の場合は1）, IF(_xlpm.テスト内容数=0,1,_xlpm.テスト内容数),
_xlpm.詳細項目数&amp;"-"&amp;_xlpm.観点数&amp;"-"&amp;_xlpm.テスト内容数（テスト内容が空の場合は1）
)</f>
        <v/>
      </c>
      <c r="B217" s="58" t="n"/>
      <c r="C217" s="58" t="n"/>
      <c r="D217" s="41" t="n"/>
      <c r="E217" s="41" t="n"/>
      <c r="F217" s="99" t="inlineStr">
        <is>
          <t>取得した値を編集する処理が分岐する設計となっている場合、本文に設定された値が［システム機能設計書/共通コンポーネント設計書/メール設計書の記載通り］であること。</t>
        </is>
      </c>
      <c r="G217" s="99" t="n"/>
      <c r="H217" s="99" t="n"/>
      <c r="I217" s="99" t="n"/>
      <c r="J217" s="82" t="n"/>
      <c r="K217" s="82" t="n"/>
      <c r="L217" s="82" t="n"/>
      <c r="M217" s="82" t="n"/>
      <c r="N217" s="82" t="n"/>
      <c r="O217" s="82" t="n"/>
      <c r="P217" s="82" t="n"/>
      <c r="Q217" s="82" t="n"/>
    </row>
    <row r="218" ht="44" customHeight="1">
      <c r="A218" s="38">
        <f t="array" ref="A218">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_xlpm.テスト内容数（テスト内容が空の場合は1）, IF(_xlpm.テスト内容数=0,1,_xlpm.テスト内容数),
_xlpm.詳細項目数&amp;"-"&amp;_xlpm.観点数&amp;"-"&amp;_xlpm.テスト内容数（テスト内容が空の場合は1）
)</f>
        <v/>
      </c>
      <c r="B218" s="58" t="n"/>
      <c r="C218" s="58" t="n"/>
      <c r="D218" s="41" t="n"/>
      <c r="E218" s="41" t="n"/>
      <c r="F218" s="99" t="inlineStr">
        <is>
          <t>ループ処理によって、取得した値の編集を繰り返す設計となっている場合、本文に設定された値が［システム機能設計書/共通コンポーネント設計書/メール設計書の記載通り］であること。</t>
        </is>
      </c>
      <c r="G218" s="99" t="n"/>
      <c r="H218" s="99" t="n"/>
      <c r="I218" s="99" t="n"/>
      <c r="J218" s="82" t="n"/>
      <c r="K218" s="82" t="n"/>
      <c r="L218" s="82" t="n"/>
      <c r="M218" s="82" t="n"/>
      <c r="N218" s="82" t="n"/>
      <c r="O218" s="82" t="n"/>
      <c r="P218" s="82" t="n"/>
      <c r="Q218" s="82" t="n"/>
    </row>
    <row r="219" ht="33" customHeight="1">
      <c r="A219" s="38">
        <f t="array" ref="A219">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_xlpm.テスト内容数（テスト内容が空の場合は1）, IF(_xlpm.テスト内容数=0,1,_xlpm.テスト内容数),
_xlpm.詳細項目数&amp;"-"&amp;_xlpm.観点数&amp;"-"&amp;_xlpm.テスト内容数（テスト内容が空の場合は1）
)</f>
        <v/>
      </c>
      <c r="B219" s="58" t="n"/>
      <c r="C219" s="58" t="n"/>
      <c r="D219" s="41" t="n"/>
      <c r="E219" s="41" t="n"/>
      <c r="F219" s="99" t="inlineStr">
        <is>
          <t>取得した値を使用して計算する設計となっている場合、本文に設定された値が［システム機能設計書/共通コンポーネント設計書/メール設計書の記載通り］であること。</t>
        </is>
      </c>
      <c r="G219" s="99" t="n"/>
      <c r="H219" s="99" t="n"/>
      <c r="I219" s="99" t="n"/>
      <c r="J219" s="82" t="n"/>
      <c r="K219" s="82" t="n"/>
      <c r="L219" s="82" t="n"/>
      <c r="M219" s="82" t="n"/>
      <c r="N219" s="82" t="n"/>
      <c r="O219" s="82" t="n"/>
      <c r="P219" s="82" t="n"/>
      <c r="Q219" s="82" t="n"/>
    </row>
    <row r="220" ht="33" customHeight="1">
      <c r="A220" s="38">
        <f t="array" ref="A220">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_xlpm.テスト内容数（テスト内容が空の場合は1）, IF(_xlpm.テスト内容数=0,1,_xlpm.テスト内容数),
_xlpm.詳細項目数&amp;"-"&amp;_xlpm.観点数&amp;"-"&amp;_xlpm.テスト内容数（テスト内容が空の場合は1）
)</f>
        <v/>
      </c>
      <c r="B220" s="58" t="n"/>
      <c r="C220" s="58" t="n"/>
      <c r="D220" s="41" t="n"/>
      <c r="E220" s="41" t="n"/>
      <c r="F220" s="99" t="inlineStr">
        <is>
          <t>取得した値を連結する設計となっている場合、本文に設定された値が［システム機能設計書/共通コンポーネント設計書/メール設計書の記載通り］であること。</t>
        </is>
      </c>
      <c r="G220" s="99" t="n"/>
      <c r="H220" s="99" t="n"/>
      <c r="I220" s="99" t="n"/>
      <c r="J220" s="82" t="n"/>
      <c r="K220" s="82" t="n"/>
      <c r="L220" s="82" t="n"/>
      <c r="M220" s="82" t="n"/>
      <c r="N220" s="82" t="n"/>
      <c r="O220" s="82" t="n"/>
      <c r="P220" s="82" t="n"/>
      <c r="Q220" s="82" t="n"/>
    </row>
    <row r="221" ht="22" customHeight="1">
      <c r="A221" s="38">
        <f t="array" ref="A22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_xlpm.テスト内容数（テスト内容が空の場合は1）, IF(_xlpm.テスト内容数=0,1,_xlpm.テスト内容数),
_xlpm.詳細項目数&amp;"-"&amp;_xlpm.観点数&amp;"-"&amp;_xlpm.テスト内容数（テスト内容が空の場合は1）
)</f>
        <v/>
      </c>
      <c r="B221" s="58" t="n"/>
      <c r="C221" s="58" t="n"/>
      <c r="D221" s="41" t="n"/>
      <c r="E221" s="41" t="n"/>
      <c r="F221" s="99" t="inlineStr">
        <is>
          <t>取得した値を暗号化する設計となっている場合、本文に設定された値が暗号化されること。</t>
        </is>
      </c>
      <c r="G221" s="99" t="n"/>
      <c r="H221" s="99" t="n"/>
      <c r="I221" s="99" t="n"/>
      <c r="J221" s="82" t="n"/>
      <c r="K221" s="82" t="n"/>
      <c r="L221" s="82" t="n"/>
      <c r="M221" s="82" t="n"/>
      <c r="N221" s="82" t="n"/>
      <c r="O221" s="82" t="n"/>
      <c r="P221" s="82" t="n"/>
      <c r="Q221" s="82" t="n"/>
    </row>
    <row r="222" ht="22" customHeight="1">
      <c r="A222" s="38">
        <f t="array" ref="A222">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_xlpm.テスト内容数（テスト内容が空の場合は1）, IF(_xlpm.テスト内容数=0,1,_xlpm.テスト内容数),
_xlpm.詳細項目数&amp;"-"&amp;_xlpm.観点数&amp;"-"&amp;_xlpm.テスト内容数（テスト内容が空の場合は1）
)</f>
        <v/>
      </c>
      <c r="B222" s="58" t="n"/>
      <c r="C222" s="58" t="n"/>
      <c r="D222" s="41" t="n"/>
      <c r="E222" s="41" t="n"/>
      <c r="F222" s="99" t="inlineStr">
        <is>
          <t>取得した値をマスキングする設計となっている場合、本文に設定された値がマスキングされること。</t>
        </is>
      </c>
      <c r="G222" s="99" t="n"/>
      <c r="H222" s="99" t="n"/>
      <c r="I222" s="99" t="n"/>
      <c r="J222" s="82" t="n"/>
      <c r="K222" s="82" t="n"/>
      <c r="L222" s="82" t="n"/>
      <c r="M222" s="82" t="n"/>
      <c r="N222" s="82" t="n"/>
      <c r="O222" s="82" t="n"/>
      <c r="P222" s="82" t="n"/>
      <c r="Q222" s="82" t="n"/>
    </row>
    <row r="223" ht="33" customHeight="1">
      <c r="A223" s="38">
        <f t="array" ref="A223">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_xlpm.テスト内容数（テスト内容が空の場合は1）, IF(_xlpm.テスト内容数=0,1,_xlpm.テスト内容数),
_xlpm.詳細項目数&amp;"-"&amp;_xlpm.観点数&amp;"-"&amp;_xlpm.テスト内容数（テスト内容が空の場合は1）
)</f>
        <v/>
      </c>
      <c r="B223" s="58" t="n"/>
      <c r="C223" s="58" t="n"/>
      <c r="D223" s="41" t="n"/>
      <c r="E223" s="41" t="n"/>
      <c r="F223" s="99" t="inlineStr">
        <is>
          <t>取得した値に改行、タブ、メタキャラクタが含まれる場合、本文に設定された値がエンコーディング、サニタイジングされること。</t>
        </is>
      </c>
      <c r="G223" s="99" t="n"/>
      <c r="H223" s="99" t="n"/>
      <c r="I223" s="99" t="n"/>
      <c r="J223" s="82" t="n"/>
      <c r="K223" s="82" t="n"/>
      <c r="L223" s="82" t="n"/>
      <c r="M223" s="82" t="n"/>
      <c r="N223" s="82" t="n"/>
      <c r="O223" s="82" t="n"/>
      <c r="P223" s="82" t="n"/>
      <c r="Q223" s="82" t="n"/>
    </row>
    <row r="224" ht="22" customHeight="1">
      <c r="A224" s="38">
        <f t="array" ref="A224">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_xlpm.テスト内容数（テスト内容が空の場合は1）, IF(_xlpm.テスト内容数=0,1,_xlpm.テスト内容数),
_xlpm.詳細項目数&amp;"-"&amp;_xlpm.観点数&amp;"-"&amp;_xlpm.テスト内容数（テスト内容が空の場合は1）
)</f>
        <v/>
      </c>
      <c r="B224" s="58" t="n"/>
      <c r="C224" s="58" t="n"/>
      <c r="D224" s="41" t="n"/>
      <c r="E224" s="50" t="n"/>
      <c r="F224" s="99" t="inlineStr">
        <is>
          <t>埋め込み項目の編集仕様が［メール設計書の記載通り］であること。</t>
        </is>
      </c>
      <c r="G224" s="99" t="n"/>
      <c r="H224" s="99" t="n"/>
      <c r="I224" s="99" t="n"/>
      <c r="J224" s="82" t="n"/>
      <c r="K224" s="82" t="n"/>
      <c r="L224" s="82" t="n"/>
      <c r="M224" s="82" t="n"/>
      <c r="N224" s="82" t="n"/>
      <c r="O224" s="82" t="n"/>
      <c r="P224" s="82" t="n"/>
      <c r="Q224" s="82" t="n"/>
    </row>
    <row r="225" ht="44" customHeight="1">
      <c r="A225" s="38">
        <f t="array" ref="A225">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_xlpm.テスト内容数（テスト内容が空の場合は1）, IF(_xlpm.テスト内容数=0,1,_xlpm.テスト内容数),
_xlpm.詳細項目数&amp;"-"&amp;_xlpm.観点数&amp;"-"&amp;_xlpm.テスト内容数（テスト内容が空の場合は1）
)</f>
        <v/>
      </c>
      <c r="B225" s="58" t="n"/>
      <c r="C225" s="58" t="n"/>
      <c r="D225" s="41" t="n"/>
      <c r="E225" s="41" t="inlineStr">
        <is>
          <t>データ件数</t>
        </is>
      </c>
      <c r="F225" s="99" t="inlineStr">
        <is>
          <t>1通のメールに埋め込み項目などを複数件繰り返し出力し、その最大件数が決まっている場合、最大件数分の値を出力した結果が［システム機能設計書/共通コンポーネント設計書の記載通り］であること。</t>
        </is>
      </c>
      <c r="G225" s="99" t="n"/>
      <c r="H225" s="99" t="n"/>
      <c r="I225" s="99" t="n"/>
      <c r="J225" s="82" t="n"/>
      <c r="K225" s="82" t="n"/>
      <c r="L225" s="82" t="n"/>
      <c r="M225" s="82" t="n"/>
      <c r="N225" s="82" t="n"/>
      <c r="O225" s="82" t="n"/>
      <c r="P225" s="82" t="n"/>
      <c r="Q225" s="82" t="n"/>
    </row>
    <row r="226" ht="44" customHeight="1">
      <c r="A226" s="38">
        <f t="array" ref="A226">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_xlpm.テスト内容数（テスト内容が空の場合は1）, IF(_xlpm.テスト内容数=0,1,_xlpm.テスト内容数),
_xlpm.詳細項目数&amp;"-"&amp;_xlpm.観点数&amp;"-"&amp;_xlpm.テスト内容数（テスト内容が空の場合は1）
)</f>
        <v/>
      </c>
      <c r="B226" s="58" t="n"/>
      <c r="C226" s="58" t="n"/>
      <c r="D226" s="41" t="n"/>
      <c r="E226" s="41" t="n"/>
      <c r="F226" s="99" t="inlineStr">
        <is>
          <t>1通のメールに埋め込み項目などを複数件繰り返し出力し、その最大件数が決まっている場合、最大件数＋1件分の値を出力した結果が［システム機能設計書/共通コンポーネント設計書の記載通り］であること。</t>
        </is>
      </c>
      <c r="G226" s="99" t="n"/>
      <c r="H226" s="99" t="n"/>
      <c r="I226" s="99" t="n"/>
      <c r="J226" s="82" t="n"/>
      <c r="K226" s="82" t="n"/>
      <c r="L226" s="82" t="n"/>
      <c r="M226" s="82" t="n"/>
      <c r="N226" s="82" t="n"/>
      <c r="O226" s="82" t="n"/>
      <c r="P226" s="82" t="n"/>
      <c r="Q226" s="82" t="n"/>
    </row>
    <row r="227" ht="33" customHeight="1">
      <c r="A227" s="38">
        <f t="array" ref="A227">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_xlpm.テスト内容数（テスト内容が空の場合は1）, IF(_xlpm.テスト内容数=0,1,_xlpm.テスト内容数),
_xlpm.詳細項目数&amp;"-"&amp;_xlpm.観点数&amp;"-"&amp;_xlpm.テスト内容数（テスト内容が空の場合は1）
)</f>
        <v/>
      </c>
      <c r="B227" s="58" t="n"/>
      <c r="C227" s="58" t="n"/>
      <c r="D227" s="41" t="n"/>
      <c r="E227" s="50" t="n"/>
      <c r="F227" s="99" t="inlineStr">
        <is>
          <t>1通のメールに埋め込み項目などを複数件繰り返し出力する処理で、出力対象が0件の場合、［システム機能設計書/共通コンポーネント設計書の記載通りの挙動］となること。</t>
        </is>
      </c>
      <c r="G227" s="99" t="n"/>
      <c r="H227" s="99" t="n"/>
      <c r="I227" s="99" t="n"/>
      <c r="J227" s="82" t="n"/>
      <c r="K227" s="82" t="n"/>
      <c r="L227" s="82" t="n"/>
      <c r="M227" s="82" t="n"/>
      <c r="N227" s="82" t="n"/>
      <c r="O227" s="82" t="n"/>
      <c r="P227" s="82" t="n"/>
      <c r="Q227" s="82" t="n"/>
    </row>
    <row r="228" ht="33" customHeight="1">
      <c r="A228" s="38">
        <f t="array" ref="A228">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_xlpm.テスト内容数（テスト内容が空の場合は1）, IF(_xlpm.テスト内容数=0,1,_xlpm.テスト内容数),
_xlpm.詳細項目数&amp;"-"&amp;_xlpm.観点数&amp;"-"&amp;_xlpm.テスト内容数（テスト内容が空の場合は1）
)</f>
        <v/>
      </c>
      <c r="B228" s="58" t="n"/>
      <c r="C228" s="58" t="n"/>
      <c r="D228" s="41" t="n"/>
      <c r="E228" s="50" t="inlineStr">
        <is>
          <t>ソート順</t>
        </is>
      </c>
      <c r="F228" s="99" t="inlineStr">
        <is>
          <t>1通のメールに埋め込み項目などを複数件繰り返し出力する設計の場合、ソート順が［システム機能設計書/共通コンポーネント設計書/メール設計書の記載通り］であること。</t>
        </is>
      </c>
      <c r="G228" s="99" t="n"/>
      <c r="H228" s="99" t="n"/>
      <c r="I228" s="99" t="n"/>
      <c r="J228" s="82" t="n"/>
      <c r="K228" s="82" t="n"/>
      <c r="L228" s="82" t="n"/>
      <c r="M228" s="82" t="n"/>
      <c r="N228" s="82" t="n"/>
      <c r="O228" s="82" t="n"/>
      <c r="P228" s="82" t="n"/>
      <c r="Q228" s="82" t="n"/>
    </row>
    <row r="229" ht="22" customHeight="1">
      <c r="A229" s="38">
        <f t="array" ref="A229">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_xlpm.テスト内容数（テスト内容が空の場合は1）, IF(_xlpm.テスト内容数=0,1,_xlpm.テスト内容数),
_xlpm.詳細項目数&amp;"-"&amp;_xlpm.観点数&amp;"-"&amp;_xlpm.テスト内容数（テスト内容が空の場合は1）
)</f>
        <v/>
      </c>
      <c r="B229" s="50" t="n"/>
      <c r="C229" s="50" t="n"/>
      <c r="D229" s="50" t="n"/>
      <c r="E229" s="286" t="inlineStr">
        <is>
          <t>添付ファイル</t>
        </is>
      </c>
      <c r="F229" s="99" t="inlineStr">
        <is>
          <t>ファイルを添付する場合、指定したファイルが添付されること。</t>
        </is>
      </c>
      <c r="G229" s="99" t="n"/>
      <c r="H229" s="99" t="n"/>
      <c r="I229" s="99" t="n"/>
      <c r="J229" s="82" t="n"/>
      <c r="K229" s="82" t="n"/>
      <c r="L229" s="82" t="n"/>
      <c r="M229" s="82" t="n"/>
      <c r="N229" s="82" t="n"/>
      <c r="O229" s="82" t="n"/>
      <c r="P229" s="82" t="n"/>
      <c r="Q229" s="82" t="n"/>
    </row>
    <row r="230" ht="22" customHeight="1">
      <c r="A230" s="38">
        <f t="array" ref="A230">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_xlpm.テスト内容数（テスト内容が空の場合は1）, IF(_xlpm.テスト内容数=0,1,_xlpm.テスト内容数),
_xlpm.詳細項目数&amp;"-"&amp;_xlpm.観点数&amp;"-"&amp;_xlpm.テスト内容数（テスト内容が空の場合は1）
)</f>
        <v/>
      </c>
      <c r="B230" s="40" t="inlineStr">
        <is>
          <t>受信処理</t>
        </is>
      </c>
      <c r="C230" s="40" t="inlineStr">
        <is>
          <t>実行結果</t>
        </is>
      </c>
      <c r="D230" s="40" t="inlineStr">
        <is>
          <t>-</t>
        </is>
      </c>
      <c r="E230" s="99" t="inlineStr">
        <is>
          <t>-</t>
        </is>
      </c>
      <c r="F230" s="99" t="inlineStr">
        <is>
          <t>電文が［システム機能設計書/共通コンポーネント設計書の記載通り］受信されること。</t>
        </is>
      </c>
      <c r="G230" s="99" t="n"/>
      <c r="H230" s="99" t="n"/>
      <c r="I230" s="99" t="n"/>
      <c r="J230" s="82" t="n"/>
      <c r="K230" s="82" t="n"/>
      <c r="L230" s="82" t="n"/>
      <c r="M230" s="82" t="n"/>
      <c r="N230" s="82" t="n"/>
      <c r="O230" s="82" t="n"/>
      <c r="P230" s="82" t="n"/>
      <c r="Q230" s="82" t="n"/>
    </row>
    <row r="231" ht="22" customHeight="1">
      <c r="A231" s="38">
        <f t="array" ref="A23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_xlpm.テスト内容数（テスト内容が空の場合は1）, IF(_xlpm.テスト内容数=0,1,_xlpm.テスト内容数),
_xlpm.詳細項目数&amp;"-"&amp;_xlpm.観点数&amp;"-"&amp;_xlpm.テスト内容数（テスト内容が空の場合は1）
)</f>
        <v/>
      </c>
      <c r="B231" s="58" t="n"/>
      <c r="C231" s="41" t="n"/>
      <c r="D231" s="41" t="n"/>
      <c r="E231" s="41" t="inlineStr">
        <is>
          <t>桁数</t>
        </is>
      </c>
      <c r="F231" s="99" t="inlineStr">
        <is>
          <t>受信した電文の長さが最大長の場合、エラーとならないこと。</t>
        </is>
      </c>
      <c r="G231" s="99" t="n"/>
      <c r="H231" s="99" t="n"/>
      <c r="I231" s="99" t="n"/>
      <c r="J231" s="82" t="n"/>
      <c r="K231" s="82" t="n"/>
      <c r="L231" s="82" t="n"/>
      <c r="M231" s="82" t="n"/>
      <c r="N231" s="82" t="n"/>
      <c r="O231" s="82" t="n"/>
      <c r="P231" s="82" t="n"/>
      <c r="Q231" s="82" t="n"/>
    </row>
    <row r="232" ht="22" customHeight="1">
      <c r="A232" s="38">
        <f t="array" ref="A232">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_xlpm.テスト内容数（テスト内容が空の場合は1）, IF(_xlpm.テスト内容数=0,1,_xlpm.テスト内容数),
_xlpm.詳細項目数&amp;"-"&amp;_xlpm.観点数&amp;"-"&amp;_xlpm.テスト内容数（テスト内容が空の場合は1）
)</f>
        <v/>
      </c>
      <c r="B232" s="58" t="n"/>
      <c r="C232" s="41" t="n"/>
      <c r="D232" s="41" t="n"/>
      <c r="E232" s="41" t="n"/>
      <c r="F232" s="99" t="inlineStr">
        <is>
          <t>受信した電文の長さが最大長+1の場合、エラーとなること。</t>
        </is>
      </c>
      <c r="G232" s="99" t="n"/>
      <c r="H232" s="99" t="n"/>
      <c r="I232" s="99" t="n"/>
      <c r="J232" s="82" t="n"/>
      <c r="K232" s="82" t="n"/>
      <c r="L232" s="82" t="n"/>
      <c r="M232" s="82" t="n"/>
      <c r="N232" s="82" t="n"/>
      <c r="O232" s="82" t="n"/>
      <c r="P232" s="82" t="n"/>
      <c r="Q232" s="82" t="n"/>
    </row>
    <row r="233" ht="22" customHeight="1">
      <c r="A233" s="38">
        <f t="array" ref="A233">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_xlpm.テスト内容数（テスト内容が空の場合は1）, IF(_xlpm.テスト内容数=0,1,_xlpm.テスト内容数),
_xlpm.詳細項目数&amp;"-"&amp;_xlpm.観点数&amp;"-"&amp;_xlpm.テスト内容数（テスト内容が空の場合は1）
)</f>
        <v/>
      </c>
      <c r="B233" s="58" t="n"/>
      <c r="C233" s="41" t="n"/>
      <c r="D233" s="41" t="n"/>
      <c r="E233" s="41" t="n"/>
      <c r="F233" s="99" t="inlineStr">
        <is>
          <t>受信した電文の長さが最小長の場合、エラーとならないこと。</t>
        </is>
      </c>
      <c r="G233" s="99" t="n"/>
      <c r="H233" s="99" t="n"/>
      <c r="I233" s="99" t="n"/>
      <c r="J233" s="82" t="n"/>
      <c r="K233" s="82" t="n"/>
      <c r="L233" s="82" t="n"/>
      <c r="M233" s="82" t="n"/>
      <c r="N233" s="82" t="n"/>
      <c r="O233" s="82" t="n"/>
      <c r="P233" s="82" t="n"/>
      <c r="Q233" s="82" t="n"/>
    </row>
    <row r="234" ht="22" customHeight="1">
      <c r="A234" s="38">
        <f t="array" ref="A234">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_xlpm.テスト内容数（テスト内容が空の場合は1）, IF(_xlpm.テスト内容数=0,1,_xlpm.テスト内容数),
_xlpm.詳細項目数&amp;"-"&amp;_xlpm.観点数&amp;"-"&amp;_xlpm.テスト内容数（テスト内容が空の場合は1）
)</f>
        <v/>
      </c>
      <c r="B234" s="58" t="n"/>
      <c r="C234" s="41" t="n"/>
      <c r="D234" s="41" t="n"/>
      <c r="E234" s="41" t="n"/>
      <c r="F234" s="99" t="inlineStr">
        <is>
          <t>受信した電文の長さが最小長-1の場合、エラーとなること。</t>
        </is>
      </c>
      <c r="G234" s="99" t="n"/>
      <c r="H234" s="99" t="n"/>
      <c r="I234" s="99" t="n"/>
      <c r="J234" s="82" t="n"/>
      <c r="K234" s="82" t="n"/>
      <c r="L234" s="82" t="n"/>
      <c r="M234" s="82" t="n"/>
      <c r="N234" s="82" t="n"/>
      <c r="O234" s="82" t="n"/>
      <c r="P234" s="82" t="n"/>
      <c r="Q234" s="82" t="n"/>
    </row>
    <row r="235" ht="33" customHeight="1">
      <c r="A235" s="38">
        <f t="array" ref="A235">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_xlpm.テスト内容数（テスト内容が空の場合は1）, IF(_xlpm.テスト内容数=0,1,_xlpm.テスト内容数),
_xlpm.詳細項目数&amp;"-"&amp;_xlpm.観点数&amp;"-"&amp;_xlpm.テスト内容数（テスト内容が空の場合は1）
)</f>
        <v/>
      </c>
      <c r="B235" s="58" t="n"/>
      <c r="C235" s="41" t="n"/>
      <c r="D235" s="41" t="n"/>
      <c r="E235" s="50" t="n"/>
      <c r="F235" s="99" t="inlineStr">
        <is>
          <t>サロゲートペア文字を許容する設計となっている場合、サロゲートペア文字を含む電文を受信した結果がエラーとならないこと。</t>
        </is>
      </c>
      <c r="G235" s="99" t="n"/>
      <c r="H235" s="99" t="n"/>
      <c r="I235" s="99" t="n"/>
      <c r="J235" s="82" t="n"/>
      <c r="K235" s="82" t="n"/>
      <c r="L235" s="82" t="n"/>
      <c r="M235" s="82" t="n"/>
      <c r="N235" s="82" t="n"/>
      <c r="O235" s="82" t="n"/>
      <c r="P235" s="82" t="n"/>
      <c r="Q235" s="82" t="n"/>
    </row>
    <row r="236" ht="33" customHeight="1">
      <c r="A236" s="38">
        <f t="array" ref="A236">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_xlpm.テスト内容数（テスト内容が空の場合は1）, IF(_xlpm.テスト内容数=0,1,_xlpm.テスト内容数),
_xlpm.詳細項目数&amp;"-"&amp;_xlpm.観点数&amp;"-"&amp;_xlpm.テスト内容数（テスト内容が空の場合は1）
)</f>
        <v/>
      </c>
      <c r="B236" s="58" t="n"/>
      <c r="C236" s="41" t="n"/>
      <c r="D236" s="41" t="n"/>
      <c r="E236" s="41" t="inlineStr">
        <is>
          <t>レコード件数</t>
        </is>
      </c>
      <c r="F236" s="99" t="inlineStr">
        <is>
          <t>受信した電文のレコード件数が複数の場合、［システム機能設計書/共通コンポーネント設計書の記載通りの挙動］となること。</t>
        </is>
      </c>
      <c r="G236" s="99" t="n"/>
      <c r="H236" s="99" t="n"/>
      <c r="I236" s="99" t="n"/>
      <c r="J236" s="82" t="n"/>
      <c r="K236" s="82" t="n"/>
      <c r="L236" s="82" t="n"/>
      <c r="M236" s="82" t="n"/>
      <c r="N236" s="82" t="n"/>
      <c r="O236" s="82" t="n"/>
      <c r="P236" s="82" t="n"/>
      <c r="Q236" s="82" t="n"/>
    </row>
    <row r="237" ht="33" customHeight="1">
      <c r="A237" s="38">
        <f t="array" ref="A237">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_xlpm.テスト内容数（テスト内容が空の場合は1）, IF(_xlpm.テスト内容数=0,1,_xlpm.テスト内容数),
_xlpm.詳細項目数&amp;"-"&amp;_xlpm.観点数&amp;"-"&amp;_xlpm.テスト内容数（テスト内容が空の場合は1）
)</f>
        <v/>
      </c>
      <c r="B237" s="58" t="n"/>
      <c r="C237" s="41" t="n"/>
      <c r="D237" s="41" t="n"/>
      <c r="E237" s="41" t="n"/>
      <c r="F237" s="99" t="inlineStr">
        <is>
          <t>受信した電文のレコードが0件の場合、［システム機能設計書/共通コンポーネント設計書の記載通りの挙動］となること。</t>
        </is>
      </c>
      <c r="G237" s="99" t="n"/>
      <c r="H237" s="99" t="n"/>
      <c r="I237" s="99" t="n"/>
      <c r="J237" s="82" t="n"/>
      <c r="K237" s="82" t="n"/>
      <c r="L237" s="82" t="n"/>
      <c r="M237" s="82" t="n"/>
      <c r="N237" s="82" t="n"/>
      <c r="O237" s="82" t="n"/>
      <c r="P237" s="82" t="n"/>
      <c r="Q237" s="82" t="n"/>
    </row>
    <row r="238" ht="44" customHeight="1">
      <c r="A238" s="38">
        <f t="array" ref="A238">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_xlpm.テスト内容数（テスト内容が空の場合は1）, IF(_xlpm.テスト内容数=0,1,_xlpm.テスト内容数),
_xlpm.詳細項目数&amp;"-"&amp;_xlpm.観点数&amp;"-"&amp;_xlpm.テスト内容数（テスト内容が空の場合は1）
)</f>
        <v/>
      </c>
      <c r="B238" s="58" t="n"/>
      <c r="C238" s="41" t="n"/>
      <c r="D238" s="41" t="n"/>
      <c r="E238" s="41" t="n"/>
      <c r="F238" s="99" t="inlineStr">
        <is>
          <t>受信した電文がマルチレイアウトの場合、同一レコード種類のレコードが複数件存在する時の処理が［システム機能設計書/共通コンポーネント設計書の記載通り］であること。</t>
        </is>
      </c>
      <c r="G238" s="99" t="n"/>
      <c r="H238" s="99" t="n"/>
      <c r="I238" s="99" t="n"/>
      <c r="J238" s="82" t="n"/>
      <c r="K238" s="82" t="n"/>
      <c r="L238" s="82" t="n"/>
      <c r="M238" s="82" t="n"/>
      <c r="N238" s="82" t="n"/>
      <c r="O238" s="82" t="n"/>
      <c r="P238" s="82" t="n"/>
      <c r="Q238" s="82" t="n"/>
    </row>
    <row r="239" ht="44" customHeight="1">
      <c r="A239" s="38">
        <f t="array" ref="A239">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_xlpm.テスト内容数（テスト内容が空の場合は1）, IF(_xlpm.テスト内容数=0,1,_xlpm.テスト内容数),
_xlpm.詳細項目数&amp;"-"&amp;_xlpm.観点数&amp;"-"&amp;_xlpm.テスト内容数（テスト内容が空の場合は1）
)</f>
        <v/>
      </c>
      <c r="B239" s="58" t="n"/>
      <c r="C239" s="41" t="n"/>
      <c r="D239" s="41" t="n"/>
      <c r="E239" s="41" t="n"/>
      <c r="F239" s="99" t="inlineStr">
        <is>
          <t>受信した電文がマルチレイアウトの場合、レコード種類のうちデータレコードにあたる件数が0件の時、［システム機能設計書/共通コンポーネント設計書の記載通りの挙動］であること。</t>
        </is>
      </c>
      <c r="G239" s="99" t="n"/>
      <c r="H239" s="99" t="n"/>
      <c r="I239" s="99" t="n"/>
      <c r="J239" s="82" t="n"/>
      <c r="K239" s="82" t="n"/>
      <c r="L239" s="82" t="n"/>
      <c r="M239" s="82" t="n"/>
      <c r="N239" s="82" t="n"/>
      <c r="O239" s="82" t="n"/>
      <c r="P239" s="82" t="n"/>
      <c r="Q239" s="82" t="n"/>
    </row>
    <row r="240" ht="33" customHeight="1">
      <c r="A240" s="38">
        <f t="array" ref="A240">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_xlpm.テスト内容数（テスト内容が空の場合は1）, IF(_xlpm.テスト内容数=0,1,_xlpm.テスト内容数),
_xlpm.詳細項目数&amp;"-"&amp;_xlpm.観点数&amp;"-"&amp;_xlpm.テスト内容数（テスト内容が空の場合は1）
)</f>
        <v/>
      </c>
      <c r="B240" s="58" t="n"/>
      <c r="C240" s="41" t="n"/>
      <c r="D240" s="41" t="n"/>
      <c r="E240" s="50" t="n"/>
      <c r="F240" s="99" t="inlineStr">
        <is>
          <t>受信した電文がマルチレイアウトの場合、全レコード種類が含まれる時の処理が［システム機能設計書/共通コンポーネント設計書の記載通り］であること。</t>
        </is>
      </c>
      <c r="G240" s="99" t="n"/>
      <c r="H240" s="99" t="n"/>
      <c r="I240" s="99" t="n"/>
      <c r="J240" s="82" t="n"/>
      <c r="K240" s="82" t="n"/>
      <c r="L240" s="82" t="n"/>
      <c r="M240" s="82" t="n"/>
      <c r="N240" s="82" t="n"/>
      <c r="O240" s="82" t="n"/>
      <c r="P240" s="82" t="n"/>
      <c r="Q240" s="82" t="n"/>
    </row>
    <row r="241" ht="33" customHeight="1">
      <c r="A241" s="38">
        <f t="array" ref="A24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_xlpm.テスト内容数（テスト内容が空の場合は1）, IF(_xlpm.テスト内容数=0,1,_xlpm.テスト内容数),
_xlpm.詳細項目数&amp;"-"&amp;_xlpm.観点数&amp;"-"&amp;_xlpm.テスト内容数（テスト内容が空の場合は1）
)</f>
        <v/>
      </c>
      <c r="B241" s="58" t="n"/>
      <c r="C241" s="49" t="n"/>
      <c r="D241" s="50" t="n"/>
      <c r="E241" s="50" t="inlineStr">
        <is>
          <t>インターフェース仕様</t>
        </is>
      </c>
      <c r="F241" s="99" t="inlineStr">
        <is>
          <t>インターフェース仕様が設計と異なる電文を取り込んだ場合、実行結果が［方式設計書の記載通り］となること。</t>
        </is>
      </c>
      <c r="G241" s="99" t="n"/>
      <c r="H241" s="99" t="n"/>
      <c r="I241" s="99" t="n"/>
      <c r="J241" s="82" t="n"/>
      <c r="K241" s="82" t="n"/>
      <c r="L241" s="82" t="n"/>
      <c r="M241" s="82" t="n"/>
      <c r="N241" s="82" t="n"/>
      <c r="O241" s="82" t="n"/>
      <c r="P241" s="82" t="n"/>
      <c r="Q241" s="82" t="n"/>
    </row>
    <row r="242" ht="33" customHeight="1">
      <c r="A242" s="38">
        <f t="array" ref="A242">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_xlpm.テスト内容数（テスト内容が空の場合は1）, IF(_xlpm.テスト内容数=0,1,_xlpm.テスト内容数),
_xlpm.詳細項目数&amp;"-"&amp;_xlpm.観点数&amp;"-"&amp;_xlpm.テスト内容数（テスト内容が空の場合は1）
)</f>
        <v/>
      </c>
      <c r="B242" s="50" t="n"/>
      <c r="C242" s="50" t="inlineStr">
        <is>
          <t>バリデーション</t>
        </is>
      </c>
      <c r="D242" s="50" t="inlineStr">
        <is>
          <t>フォーマット定義</t>
        </is>
      </c>
      <c r="E242" s="50" t="inlineStr">
        <is>
          <t>レコード構成</t>
        </is>
      </c>
      <c r="F242" s="99" t="inlineStr">
        <is>
          <t>受信した電文がマルチレイアウトの場合、全レコード種類の構成が［外部インターフェース設計書/サブシステムインターフェース設計書の記載通り］であること。</t>
        </is>
      </c>
      <c r="G242" s="99" t="n"/>
      <c r="H242" s="99" t="n"/>
      <c r="I242" s="99" t="n"/>
      <c r="J242" s="82" t="n"/>
      <c r="K242" s="82" t="n"/>
      <c r="L242" s="82" t="n"/>
      <c r="M242" s="82" t="n"/>
      <c r="N242" s="82" t="n"/>
      <c r="O242" s="82" t="n"/>
      <c r="P242" s="82" t="n"/>
      <c r="Q242" s="82" t="n"/>
    </row>
    <row r="243" ht="22" customHeight="1">
      <c r="A243" s="38">
        <f t="array" ref="A243">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_xlpm.テスト内容数（テスト内容が空の場合は1）, IF(_xlpm.テスト内容数=0,1,_xlpm.テスト内容数),
_xlpm.詳細項目数&amp;"-"&amp;_xlpm.観点数&amp;"-"&amp;_xlpm.テスト内容数（テスト内容が空の場合は1）
)</f>
        <v/>
      </c>
      <c r="B243" s="40" t="inlineStr">
        <is>
          <t>送信処理</t>
        </is>
      </c>
      <c r="C243" s="40" t="inlineStr">
        <is>
          <t>実行結果</t>
        </is>
      </c>
      <c r="D243" s="40" t="inlineStr">
        <is>
          <t>-</t>
        </is>
      </c>
      <c r="E243" s="40" t="inlineStr">
        <is>
          <t>-</t>
        </is>
      </c>
      <c r="F243" s="99" t="inlineStr">
        <is>
          <t>実行結果が正常の時、電文が［システム機能設計書/共通コンポーネント設計書の記載通り］送信されること。</t>
        </is>
      </c>
      <c r="G243" s="99" t="n"/>
      <c r="H243" s="99" t="n"/>
      <c r="I243" s="99" t="n"/>
      <c r="J243" s="82" t="n"/>
      <c r="K243" s="82" t="n"/>
      <c r="L243" s="82" t="n"/>
      <c r="M243" s="82" t="n"/>
      <c r="N243" s="82" t="n"/>
      <c r="O243" s="82" t="n"/>
      <c r="P243" s="82" t="n"/>
      <c r="Q243" s="82" t="n"/>
    </row>
    <row r="244" ht="22" customHeight="1">
      <c r="A244" s="38">
        <f t="array" ref="A244">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_xlpm.テスト内容数（テスト内容が空の場合は1）, IF(_xlpm.テスト内容数=0,1,_xlpm.テスト内容数),
_xlpm.詳細項目数&amp;"-"&amp;_xlpm.観点数&amp;"-"&amp;_xlpm.テスト内容数（テスト内容が空の場合は1）
)</f>
        <v/>
      </c>
      <c r="B244" s="58" t="n"/>
      <c r="C244" s="41" t="n"/>
      <c r="D244" s="50" t="n"/>
      <c r="E244" s="50" t="n"/>
      <c r="F244" s="99" t="inlineStr">
        <is>
          <t>実行結果が異常の時、電文が［システム機能設計書/共通コンポーネント設計書の記載通り］送信されること。</t>
        </is>
      </c>
      <c r="G244" s="99" t="n"/>
      <c r="H244" s="99" t="n"/>
      <c r="I244" s="99" t="n"/>
      <c r="J244" s="82" t="n"/>
      <c r="K244" s="82" t="n"/>
      <c r="L244" s="82" t="n"/>
      <c r="M244" s="82" t="n"/>
      <c r="N244" s="82" t="n"/>
      <c r="O244" s="82" t="n"/>
      <c r="P244" s="82" t="n"/>
      <c r="Q244" s="82" t="n"/>
    </row>
    <row r="245" ht="33" customHeight="1">
      <c r="A245" s="38">
        <f t="array" ref="A245">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_xlpm.テスト内容数（テスト内容が空の場合は1）, IF(_xlpm.テスト内容数=0,1,_xlpm.テスト内容数),
_xlpm.詳細項目数&amp;"-"&amp;_xlpm.観点数&amp;"-"&amp;_xlpm.テスト内容数（テスト内容が空の場合は1）
)</f>
        <v/>
      </c>
      <c r="B245" s="58" t="n"/>
      <c r="C245" s="41" t="n"/>
      <c r="D245" s="41" t="inlineStr">
        <is>
          <t>エラー</t>
        </is>
      </c>
      <c r="E245" s="41" t="inlineStr">
        <is>
          <t>-</t>
        </is>
      </c>
      <c r="F245" s="99" t="inlineStr">
        <is>
          <t>電文の送信時にタイムアウトが発生した場合、実行結果が［システム機能設計書/共通コンポーネント設計書の記載通り］であること。</t>
        </is>
      </c>
      <c r="G245" s="99" t="n"/>
      <c r="H245" s="99" t="n"/>
      <c r="I245" s="99" t="n"/>
      <c r="J245" s="82" t="n"/>
      <c r="K245" s="82" t="n"/>
      <c r="L245" s="82" t="n"/>
      <c r="M245" s="82" t="n"/>
      <c r="N245" s="82" t="n"/>
      <c r="O245" s="82" t="n"/>
      <c r="P245" s="82" t="n"/>
      <c r="Q245" s="82" t="n"/>
    </row>
    <row r="246" ht="33" customHeight="1">
      <c r="A246" s="38">
        <f t="array" ref="A246">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_xlpm.テスト内容数（テスト内容が空の場合は1）, IF(_xlpm.テスト内容数=0,1,_xlpm.テスト内容数),
_xlpm.詳細項目数&amp;"-"&amp;_xlpm.観点数&amp;"-"&amp;_xlpm.テスト内容数（テスト内容が空の場合は1）
)</f>
        <v/>
      </c>
      <c r="B246" s="58" t="n"/>
      <c r="C246" s="50" t="n"/>
      <c r="D246" s="50" t="n"/>
      <c r="E246" s="50" t="n"/>
      <c r="F246" s="99" t="inlineStr">
        <is>
          <t>タイムアウト以外のエラーが発生した場合、実行結果が［システム機能設計書/共通コンポーネント設計書の記載通り］であること。</t>
        </is>
      </c>
      <c r="G246" s="99" t="n"/>
      <c r="H246" s="99" t="n"/>
      <c r="I246" s="99" t="n"/>
      <c r="J246" s="82" t="n"/>
      <c r="K246" s="82" t="n"/>
      <c r="L246" s="82" t="n"/>
      <c r="M246" s="82" t="n"/>
      <c r="N246" s="82" t="n"/>
      <c r="O246" s="82" t="n"/>
      <c r="P246" s="82" t="n"/>
      <c r="Q246" s="82" t="n"/>
    </row>
    <row r="247" ht="33" customHeight="1">
      <c r="A247" s="38">
        <f t="array" ref="A247">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_xlpm.テスト内容数（テスト内容が空の場合は1）, IF(_xlpm.テスト内容数=0,1,_xlpm.テスト内容数),
_xlpm.詳細項目数&amp;"-"&amp;_xlpm.観点数&amp;"-"&amp;_xlpm.テスト内容数（テスト内容が空の場合は1）
)</f>
        <v/>
      </c>
      <c r="B247" s="58" t="n"/>
      <c r="C247" s="52" t="inlineStr">
        <is>
          <t>電文編集</t>
        </is>
      </c>
      <c r="D247" s="41" t="inlineStr">
        <is>
          <t>フォーマット定義</t>
        </is>
      </c>
      <c r="E247" s="99" t="inlineStr">
        <is>
          <t>文字コード</t>
        </is>
      </c>
      <c r="F247" s="99" t="inlineStr">
        <is>
          <t>送信した電文の文字コードが［外部インターフェース設計書/サブシステムインターフェース設計書の記載通り］であること。</t>
        </is>
      </c>
      <c r="G247" s="99" t="n"/>
      <c r="H247" s="99" t="n"/>
      <c r="I247" s="99" t="n"/>
      <c r="J247" s="82" t="n"/>
      <c r="K247" s="82" t="n"/>
      <c r="L247" s="82" t="n"/>
      <c r="M247" s="82" t="n"/>
      <c r="N247" s="82" t="n"/>
      <c r="O247" s="82" t="n"/>
      <c r="P247" s="82" t="n"/>
      <c r="Q247" s="82" t="n"/>
    </row>
    <row r="248" ht="33" customHeight="1">
      <c r="A248" s="38">
        <f t="array" ref="A248">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_xlpm.テスト内容数（テスト内容が空の場合は1）, IF(_xlpm.テスト内容数=0,1,_xlpm.テスト内容数),
_xlpm.詳細項目数&amp;"-"&amp;_xlpm.観点数&amp;"-"&amp;_xlpm.テスト内容数（テスト内容が空の場合は1）
)</f>
        <v/>
      </c>
      <c r="B248" s="58" t="n"/>
      <c r="C248" s="52" t="n"/>
      <c r="D248" s="41" t="n"/>
      <c r="E248" s="99" t="inlineStr">
        <is>
          <t>区切り文字</t>
        </is>
      </c>
      <c r="F248" s="99" t="inlineStr">
        <is>
          <t>送信した電文の区切り文字が［外部インターフェース設計書/サブシステムインターフェース設計書の記載通り］であること。</t>
        </is>
      </c>
      <c r="G248" s="99" t="n"/>
      <c r="H248" s="99" t="n"/>
      <c r="I248" s="99" t="n"/>
      <c r="J248" s="82" t="n"/>
      <c r="K248" s="82" t="n"/>
      <c r="L248" s="82" t="n"/>
      <c r="M248" s="82" t="n"/>
      <c r="N248" s="82" t="n"/>
      <c r="O248" s="82" t="n"/>
      <c r="P248" s="82" t="n"/>
      <c r="Q248" s="82" t="n"/>
    </row>
    <row r="249" ht="33" customHeight="1">
      <c r="A249" s="38">
        <f t="array" ref="A249">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_xlpm.テスト内容数（テスト内容が空の場合は1）, IF(_xlpm.テスト内容数=0,1,_xlpm.テスト内容数),
_xlpm.詳細項目数&amp;"-"&amp;_xlpm.観点数&amp;"-"&amp;_xlpm.テスト内容数（テスト内容が空の場合は1）
)</f>
        <v/>
      </c>
      <c r="B249" s="58" t="n"/>
      <c r="C249" s="58" t="n"/>
      <c r="D249" s="52" t="n"/>
      <c r="E249" s="99" t="inlineStr">
        <is>
          <t>レコード構成</t>
        </is>
      </c>
      <c r="F249" s="99" t="inlineStr">
        <is>
          <t>送信した電文がマルチレイアウトの場合、レコード構成が［外部インターフェース設計書/サブシステムインターフェース設計書の記載通り］であること。</t>
        </is>
      </c>
      <c r="G249" s="99" t="n"/>
      <c r="H249" s="99" t="n"/>
      <c r="I249" s="99" t="n"/>
      <c r="J249" s="82" t="n"/>
      <c r="K249" s="82" t="n"/>
      <c r="L249" s="82" t="n"/>
      <c r="M249" s="82" t="n"/>
      <c r="N249" s="82" t="n"/>
      <c r="O249" s="82" t="n"/>
      <c r="P249" s="82" t="n"/>
      <c r="Q249" s="82" t="n"/>
    </row>
    <row r="250" ht="33" customHeight="1">
      <c r="A250" s="38">
        <f t="array" ref="A250">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_xlpm.テスト内容数（テスト内容が空の場合は1）, IF(_xlpm.テスト内容数=0,1,_xlpm.テスト内容数),
_xlpm.詳細項目数&amp;"-"&amp;_xlpm.観点数&amp;"-"&amp;_xlpm.テスト内容数（テスト内容が空の場合は1）
)</f>
        <v/>
      </c>
      <c r="B250" s="58" t="n"/>
      <c r="C250" s="52" t="n"/>
      <c r="D250" s="50" t="n"/>
      <c r="E250" s="99" t="inlineStr">
        <is>
          <t>ソート順</t>
        </is>
      </c>
      <c r="F250" s="99" t="inlineStr">
        <is>
          <t>送信した電文の項目並び順が［外部インターフェース設計書/サブシステムインターフェース設計書の記載通り］であること。</t>
        </is>
      </c>
      <c r="G250" s="99" t="n"/>
      <c r="H250" s="99" t="n"/>
      <c r="I250" s="99" t="n"/>
      <c r="J250" s="82" t="n"/>
      <c r="K250" s="82" t="n"/>
      <c r="L250" s="82" t="n"/>
      <c r="M250" s="82" t="n"/>
      <c r="N250" s="82" t="n"/>
      <c r="O250" s="82" t="n"/>
      <c r="P250" s="82" t="n"/>
      <c r="Q250" s="82" t="n"/>
    </row>
    <row r="251" ht="22" customHeight="1">
      <c r="A251" s="38">
        <f t="array" ref="A25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_xlpm.テスト内容数（テスト内容が空の場合は1）, IF(_xlpm.テスト内容数=0,1,_xlpm.テスト内容数),
_xlpm.詳細項目数&amp;"-"&amp;_xlpm.観点数&amp;"-"&amp;_xlpm.テスト内容数（テスト内容が空の場合は1）
)</f>
        <v/>
      </c>
      <c r="B251" s="58" t="n"/>
      <c r="C251" s="58" t="n"/>
      <c r="D251" s="41" t="inlineStr">
        <is>
          <t>出力内容</t>
        </is>
      </c>
      <c r="E251" s="58" t="inlineStr">
        <is>
          <t>-</t>
        </is>
      </c>
      <c r="F251" s="99" t="inlineStr">
        <is>
          <t>送信した電文に含まれる項目の値が、取得元と同値であること。</t>
        </is>
      </c>
      <c r="G251" s="99" t="n"/>
      <c r="H251" s="99" t="n"/>
      <c r="I251" s="99" t="n"/>
      <c r="J251" s="82" t="n"/>
      <c r="K251" s="82" t="n"/>
      <c r="L251" s="82" t="n"/>
      <c r="M251" s="82" t="n"/>
      <c r="N251" s="82" t="n"/>
      <c r="O251" s="82" t="n"/>
      <c r="P251" s="82" t="n"/>
      <c r="Q251" s="82" t="n"/>
    </row>
    <row r="252" ht="22" customHeight="1">
      <c r="A252" s="38">
        <f t="array" ref="A252">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_xlpm.テスト内容数（テスト内容が空の場合は1）, IF(_xlpm.テスト内容数=0,1,_xlpm.テスト内容数),
_xlpm.詳細項目数&amp;"-"&amp;_xlpm.観点数&amp;"-"&amp;_xlpm.テスト内容数（テスト内容が空の場合は1）
)</f>
        <v/>
      </c>
      <c r="B252" s="58" t="n"/>
      <c r="C252" s="58" t="n"/>
      <c r="D252" s="52" t="n"/>
      <c r="E252" s="50" t="n"/>
      <c r="F252" s="99" t="inlineStr">
        <is>
          <t>デフォルト値を送信する項目の場合、デフォルト値が送信されること。</t>
        </is>
      </c>
      <c r="G252" s="99" t="n"/>
      <c r="H252" s="99" t="n"/>
      <c r="I252" s="99" t="n"/>
      <c r="J252" s="82" t="n"/>
      <c r="K252" s="82" t="n"/>
      <c r="L252" s="82" t="n"/>
      <c r="M252" s="82" t="n"/>
      <c r="N252" s="82" t="n"/>
      <c r="O252" s="82" t="n"/>
      <c r="P252" s="82" t="n"/>
      <c r="Q252" s="82" t="n"/>
    </row>
    <row r="253" ht="33" customHeight="1">
      <c r="A253" s="38">
        <f t="array" ref="A253">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_xlpm.テスト内容数（テスト内容が空の場合は1）, IF(_xlpm.テスト内容数=0,1,_xlpm.テスト内容数),
_xlpm.詳細項目数&amp;"-"&amp;_xlpm.観点数&amp;"-"&amp;_xlpm.テスト内容数（テスト内容が空の場合は1）
)</f>
        <v/>
      </c>
      <c r="B253" s="58" t="n"/>
      <c r="C253" s="58" t="n"/>
      <c r="D253" s="52" t="n"/>
      <c r="E253" s="41" t="inlineStr">
        <is>
          <t>編集仕様</t>
        </is>
      </c>
      <c r="F253" s="99" t="inlineStr">
        <is>
          <t>取得した値を変換する設計となっている場合、送信された値が［システム機能設計書/共通コンポーネント設計書の記載通り］であること。</t>
        </is>
      </c>
      <c r="G253" s="99" t="n"/>
      <c r="H253" s="99" t="n"/>
      <c r="I253" s="99" t="n"/>
      <c r="J253" s="82" t="n"/>
      <c r="K253" s="82" t="n"/>
      <c r="L253" s="82" t="n"/>
      <c r="M253" s="82" t="n"/>
      <c r="N253" s="82" t="n"/>
      <c r="O253" s="82" t="n"/>
      <c r="P253" s="82" t="n"/>
      <c r="Q253" s="82" t="n"/>
    </row>
    <row r="254" ht="33" customHeight="1">
      <c r="A254" s="38">
        <f t="array" ref="A254">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_xlpm.テスト内容数（テスト内容が空の場合は1）, IF(_xlpm.テスト内容数=0,1,_xlpm.テスト内容数),
_xlpm.詳細項目数&amp;"-"&amp;_xlpm.観点数&amp;"-"&amp;_xlpm.テスト内容数（テスト内容が空の場合は1）
)</f>
        <v/>
      </c>
      <c r="B254" s="58" t="n"/>
      <c r="C254" s="58" t="n"/>
      <c r="D254" s="52" t="n"/>
      <c r="E254" s="41" t="n"/>
      <c r="F254" s="99" t="inlineStr">
        <is>
          <t>取得した値を編集する処理が分岐する設計となっている場合、送信された値が［システム機能設計書/共通コンポーネント設計書の記載通り］であること。</t>
        </is>
      </c>
      <c r="G254" s="99" t="n"/>
      <c r="H254" s="99" t="n"/>
      <c r="I254" s="99" t="n"/>
      <c r="J254" s="82" t="n"/>
      <c r="K254" s="82" t="n"/>
      <c r="L254" s="82" t="n"/>
      <c r="M254" s="82" t="n"/>
      <c r="N254" s="82" t="n"/>
      <c r="O254" s="82" t="n"/>
      <c r="P254" s="82" t="n"/>
      <c r="Q254" s="82" t="n"/>
    </row>
    <row r="255" ht="33" customHeight="1">
      <c r="A255" s="38">
        <f t="array" ref="A255">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_xlpm.テスト内容数（テスト内容が空の場合は1）, IF(_xlpm.テスト内容数=0,1,_xlpm.テスト内容数),
_xlpm.詳細項目数&amp;"-"&amp;_xlpm.観点数&amp;"-"&amp;_xlpm.テスト内容数（テスト内容が空の場合は1）
)</f>
        <v/>
      </c>
      <c r="B255" s="58" t="n"/>
      <c r="C255" s="58" t="n"/>
      <c r="D255" s="52" t="n"/>
      <c r="E255" s="41" t="n"/>
      <c r="F255" s="99" t="inlineStr">
        <is>
          <t>ループ処理によって、取得した値の編集を繰り返す設計となっている場合、送信された値が［システム機能設計書/共通コンポーネント設計書の記載通り］であること。</t>
        </is>
      </c>
      <c r="G255" s="99" t="n"/>
      <c r="H255" s="99" t="n"/>
      <c r="I255" s="99" t="n"/>
      <c r="J255" s="82" t="n"/>
      <c r="K255" s="82" t="n"/>
      <c r="L255" s="82" t="n"/>
      <c r="M255" s="82" t="n"/>
      <c r="N255" s="82" t="n"/>
      <c r="O255" s="82" t="n"/>
      <c r="P255" s="82" t="n"/>
      <c r="Q255" s="82" t="n"/>
    </row>
    <row r="256" ht="33" customHeight="1">
      <c r="A256" s="38">
        <f t="array" ref="A256">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_xlpm.テスト内容数（テスト内容が空の場合は1）, IF(_xlpm.テスト内容数=0,1,_xlpm.テスト内容数),
_xlpm.詳細項目数&amp;"-"&amp;_xlpm.観点数&amp;"-"&amp;_xlpm.テスト内容数（テスト内容が空の場合は1）
)</f>
        <v/>
      </c>
      <c r="B256" s="58" t="n"/>
      <c r="C256" s="58" t="n"/>
      <c r="D256" s="52" t="n"/>
      <c r="E256" s="41" t="n"/>
      <c r="F256" s="99" t="inlineStr">
        <is>
          <t>取得した値を使用して計算する設計となっている場合、送信された値が［システム機能設計書/共通コンポーネント設計書の記載通り］であること。</t>
        </is>
      </c>
      <c r="G256" s="99" t="n"/>
      <c r="H256" s="99" t="n"/>
      <c r="I256" s="99" t="n"/>
      <c r="J256" s="82" t="n"/>
      <c r="K256" s="82" t="n"/>
      <c r="L256" s="82" t="n"/>
      <c r="M256" s="82" t="n"/>
      <c r="N256" s="82" t="n"/>
      <c r="O256" s="82" t="n"/>
      <c r="P256" s="82" t="n"/>
      <c r="Q256" s="82" t="n"/>
    </row>
    <row r="257" ht="33" customHeight="1">
      <c r="A257" s="38">
        <f t="array" ref="A257">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_xlpm.テスト内容数（テスト内容が空の場合は1）, IF(_xlpm.テスト内容数=0,1,_xlpm.テスト内容数),
_xlpm.詳細項目数&amp;"-"&amp;_xlpm.観点数&amp;"-"&amp;_xlpm.テスト内容数（テスト内容が空の場合は1）
)</f>
        <v/>
      </c>
      <c r="B257" s="41" t="n"/>
      <c r="C257" s="41" t="n"/>
      <c r="D257" s="41" t="n"/>
      <c r="E257" s="58" t="n"/>
      <c r="F257" s="99" t="inlineStr">
        <is>
          <t>取得した値を連結する設計となっている場合、送信された値が［システム機能設計書/共通コンポーネント設計書の記載通り］であること。</t>
        </is>
      </c>
      <c r="G257" s="99" t="n"/>
      <c r="H257" s="99" t="n"/>
      <c r="I257" s="99" t="n"/>
      <c r="J257" s="82" t="n"/>
      <c r="K257" s="82" t="n"/>
      <c r="L257" s="82" t="n"/>
      <c r="M257" s="82" t="n"/>
      <c r="N257" s="82" t="n"/>
      <c r="O257" s="82" t="n"/>
      <c r="P257" s="82" t="n"/>
      <c r="Q257" s="82" t="n"/>
    </row>
    <row r="258" ht="22" customHeight="1">
      <c r="A258" s="38">
        <f t="array" ref="A258">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_xlpm.テスト内容数（テスト内容が空の場合は1）, IF(_xlpm.テスト内容数=0,1,_xlpm.テスト内容数),
_xlpm.詳細項目数&amp;"-"&amp;_xlpm.観点数&amp;"-"&amp;_xlpm.テスト内容数（テスト内容が空の場合は1）
)</f>
        <v/>
      </c>
      <c r="B258" s="58" t="n"/>
      <c r="C258" s="41" t="n"/>
      <c r="D258" s="41" t="n"/>
      <c r="E258" s="58" t="n"/>
      <c r="F258" s="99" t="inlineStr">
        <is>
          <t>取得した値を暗号化する設計となっている場合、送信された値が暗号化されること。</t>
        </is>
      </c>
      <c r="G258" s="99" t="n"/>
      <c r="H258" s="99" t="n"/>
      <c r="I258" s="99" t="n"/>
      <c r="J258" s="82" t="n"/>
      <c r="K258" s="82" t="n"/>
      <c r="L258" s="82" t="n"/>
      <c r="M258" s="82" t="n"/>
      <c r="N258" s="82" t="n"/>
      <c r="O258" s="82" t="n"/>
      <c r="P258" s="82" t="n"/>
      <c r="Q258" s="82" t="n"/>
    </row>
    <row r="259" ht="22" customHeight="1">
      <c r="A259" s="38">
        <f t="array" ref="A259">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_xlpm.テスト内容数（テスト内容が空の場合は1）, IF(_xlpm.テスト内容数=0,1,_xlpm.テスト内容数),
_xlpm.詳細項目数&amp;"-"&amp;_xlpm.観点数&amp;"-"&amp;_xlpm.テスト内容数（テスト内容が空の場合は1）
)</f>
        <v/>
      </c>
      <c r="B259" s="58" t="n"/>
      <c r="C259" s="41" t="n"/>
      <c r="D259" s="41" t="n"/>
      <c r="E259" s="58" t="n"/>
      <c r="F259" s="99" t="inlineStr">
        <is>
          <t>取得した値をマスキングする設計となっている場合、送信された値がマスキングされること。</t>
        </is>
      </c>
      <c r="G259" s="99" t="n"/>
      <c r="H259" s="99" t="n"/>
      <c r="I259" s="99" t="n"/>
      <c r="J259" s="82" t="n"/>
      <c r="K259" s="82" t="n"/>
      <c r="L259" s="82" t="n"/>
      <c r="M259" s="82" t="n"/>
      <c r="N259" s="82" t="n"/>
      <c r="O259" s="82" t="n"/>
      <c r="P259" s="82" t="n"/>
      <c r="Q259" s="82" t="n"/>
    </row>
    <row r="260" ht="33" customHeight="1">
      <c r="A260" s="38">
        <f t="array" ref="A260">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_xlpm.テスト内容数（テスト内容が空の場合は1）, IF(_xlpm.テスト内容数=0,1,_xlpm.テスト内容数),
_xlpm.詳細項目数&amp;"-"&amp;_xlpm.観点数&amp;"-"&amp;_xlpm.テスト内容数（テスト内容が空の場合は1）
)</f>
        <v/>
      </c>
      <c r="B260" s="58" t="n"/>
      <c r="C260" s="41" t="n"/>
      <c r="D260" s="41" t="n"/>
      <c r="E260" s="58" t="n"/>
      <c r="F260" s="99" t="inlineStr">
        <is>
          <t>取得した値に改行、タブ、メタキャラクタが含まれる場合、送信された値がエンコーディング、サニタイジングされること。</t>
        </is>
      </c>
      <c r="G260" s="99" t="n"/>
      <c r="H260" s="99" t="n"/>
      <c r="I260" s="99" t="n"/>
      <c r="J260" s="82" t="n"/>
      <c r="K260" s="82" t="n"/>
      <c r="L260" s="82" t="n"/>
      <c r="M260" s="82" t="n"/>
      <c r="N260" s="82" t="n"/>
      <c r="O260" s="82" t="n"/>
      <c r="P260" s="82" t="n"/>
      <c r="Q260" s="82" t="n"/>
    </row>
    <row r="261" ht="33" customHeight="1">
      <c r="A261" s="38">
        <f t="array" ref="A26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_xlpm.テスト内容数（テスト内容が空の場合は1）, IF(_xlpm.テスト内容数=0,1,_xlpm.テスト内容数),
_xlpm.詳細項目数&amp;"-"&amp;_xlpm.観点数&amp;"-"&amp;_xlpm.テスト内容数（テスト内容が空の場合は1）
)</f>
        <v/>
      </c>
      <c r="B261" s="58" t="n"/>
      <c r="C261" s="41" t="n"/>
      <c r="D261" s="41" t="n"/>
      <c r="E261" s="58" t="n"/>
      <c r="F261" s="99" t="inlineStr">
        <is>
          <t>取得した値をパディングする設計となっている場合、送信された値が［システム機能設計書/共通コンポーネント設計書の記載通り］であること。</t>
        </is>
      </c>
      <c r="G261" s="99" t="n"/>
      <c r="H261" s="99" t="n"/>
      <c r="I261" s="99" t="n"/>
      <c r="J261" s="82" t="n"/>
      <c r="K261" s="82" t="n"/>
      <c r="L261" s="82" t="n"/>
      <c r="M261" s="82" t="n"/>
      <c r="N261" s="82" t="n"/>
      <c r="O261" s="82" t="n"/>
      <c r="P261" s="82" t="n"/>
      <c r="Q261" s="82" t="n"/>
    </row>
    <row r="262" ht="33" customHeight="1">
      <c r="A262" s="38">
        <f t="array" ref="A262">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_xlpm.テスト内容数（テスト内容が空の場合は1）, IF(_xlpm.テスト内容数=0,1,_xlpm.テスト内容数),
_xlpm.詳細項目数&amp;"-"&amp;_xlpm.観点数&amp;"-"&amp;_xlpm.テスト内容数（テスト内容が空の場合は1）
)</f>
        <v/>
      </c>
      <c r="B262" s="58" t="n"/>
      <c r="C262" s="41" t="n"/>
      <c r="D262" s="41" t="n"/>
      <c r="E262" s="41" t="n"/>
      <c r="F262" s="99" t="inlineStr">
        <is>
          <t>取得した値をパディングする設計となっている場合、送信された値のパディング位置が［システム機能設計書/共通コンポーネント設計書の記載通り］であること。</t>
        </is>
      </c>
      <c r="G262" s="99" t="n"/>
      <c r="H262" s="99" t="n"/>
      <c r="I262" s="99" t="n"/>
      <c r="J262" s="82" t="n"/>
      <c r="K262" s="82" t="n"/>
      <c r="L262" s="82" t="n"/>
      <c r="M262" s="82" t="n"/>
      <c r="N262" s="82" t="n"/>
      <c r="O262" s="82" t="n"/>
      <c r="P262" s="82" t="n"/>
      <c r="Q262" s="82" t="n"/>
    </row>
    <row r="263" ht="33" customHeight="1">
      <c r="A263" s="38">
        <f t="array" ref="A263">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_xlpm.テスト内容数（テスト内容が空の場合は1）, IF(_xlpm.テスト内容数=0,1,_xlpm.テスト内容数),
_xlpm.詳細項目数&amp;"-"&amp;_xlpm.観点数&amp;"-"&amp;_xlpm.テスト内容数（テスト内容が空の場合は1）
)</f>
        <v/>
      </c>
      <c r="B263" s="58" t="n"/>
      <c r="C263" s="41" t="n"/>
      <c r="D263" s="41" t="n"/>
      <c r="E263" s="50" t="n"/>
      <c r="F263" s="99" t="inlineStr">
        <is>
          <t>取得した数値が小数点以下を含む場合、送信された小数点以下の数値が［システム機能設計書/共通コンポーネント設計書の記載通り］であること。</t>
        </is>
      </c>
      <c r="G263" s="99" t="n"/>
      <c r="H263" s="99" t="n"/>
      <c r="I263" s="99" t="n"/>
      <c r="J263" s="82" t="n"/>
      <c r="K263" s="82" t="n"/>
      <c r="L263" s="82" t="n"/>
      <c r="M263" s="82" t="n"/>
      <c r="N263" s="82" t="n"/>
      <c r="O263" s="82" t="n"/>
      <c r="P263" s="82" t="n"/>
      <c r="Q263" s="82" t="n"/>
    </row>
    <row r="264">
      <c r="A264" s="38">
        <f t="array" ref="A264">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_xlpm.テスト内容数（テスト内容が空の場合は1）, IF(_xlpm.テスト内容数=0,1,_xlpm.テスト内容数),
_xlpm.詳細項目数&amp;"-"&amp;_xlpm.観点数&amp;"-"&amp;_xlpm.テスト内容数（テスト内容が空の場合は1）
)</f>
        <v/>
      </c>
      <c r="B264" s="58" t="n"/>
      <c r="C264" s="41" t="n"/>
      <c r="D264" s="41" t="n"/>
      <c r="E264" s="41" t="inlineStr">
        <is>
          <t>桁数</t>
        </is>
      </c>
      <c r="F264" s="99" t="inlineStr">
        <is>
          <t>送信項目の値が最大長の場合、エラーとならないこと。</t>
        </is>
      </c>
      <c r="G264" s="99" t="n"/>
      <c r="H264" s="99" t="n"/>
      <c r="I264" s="99" t="n"/>
      <c r="J264" s="82" t="n"/>
      <c r="K264" s="82" t="n"/>
      <c r="L264" s="82" t="n"/>
      <c r="M264" s="82" t="n"/>
      <c r="N264" s="82" t="n"/>
      <c r="O264" s="82" t="n"/>
      <c r="P264" s="82" t="n"/>
      <c r="Q264" s="82" t="n"/>
    </row>
    <row r="265">
      <c r="A265" s="38">
        <f t="array" ref="A265">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_xlpm.テスト内容数（テスト内容が空の場合は1）, IF(_xlpm.テスト内容数=0,1,_xlpm.テスト内容数),
_xlpm.詳細項目数&amp;"-"&amp;_xlpm.観点数&amp;"-"&amp;_xlpm.テスト内容数（テスト内容が空の場合は1）
)</f>
        <v/>
      </c>
      <c r="B265" s="58" t="n"/>
      <c r="C265" s="41" t="n"/>
      <c r="D265" s="41" t="n"/>
      <c r="E265" s="41" t="n"/>
      <c r="F265" s="99" t="inlineStr">
        <is>
          <t>送信項目の値が最小長の場合、エラーとならないこと。</t>
        </is>
      </c>
      <c r="G265" s="99" t="n"/>
      <c r="H265" s="99" t="n"/>
      <c r="I265" s="99" t="n"/>
      <c r="J265" s="82" t="n"/>
      <c r="K265" s="82" t="n"/>
      <c r="L265" s="82" t="n"/>
      <c r="M265" s="82" t="n"/>
      <c r="N265" s="82" t="n"/>
      <c r="O265" s="82" t="n"/>
      <c r="P265" s="82" t="n"/>
      <c r="Q265" s="82" t="n"/>
    </row>
    <row r="266" ht="22" customHeight="1">
      <c r="A266" s="38">
        <f t="array" ref="A266">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_xlpm.テスト内容数（テスト内容が空の場合は1）, IF(_xlpm.テスト内容数=0,1,_xlpm.テスト内容数),
_xlpm.詳細項目数&amp;"-"&amp;_xlpm.観点数&amp;"-"&amp;_xlpm.テスト内容数（テスト内容が空の場合は1）
)</f>
        <v/>
      </c>
      <c r="B266" s="58" t="n"/>
      <c r="C266" s="58" t="n"/>
      <c r="D266" s="41" t="n"/>
      <c r="E266" s="41" t="n"/>
      <c r="F266" s="99" t="inlineStr">
        <is>
          <t>送信項目の値が存在しない場合、［システム機能設計書/共通コンポーネント設計書の記載通りの挙動］となること。</t>
        </is>
      </c>
      <c r="G266" s="99" t="n"/>
      <c r="H266" s="99" t="n"/>
      <c r="I266" s="99" t="n"/>
      <c r="J266" s="82" t="n"/>
      <c r="K266" s="82" t="n"/>
      <c r="L266" s="82" t="n"/>
      <c r="M266" s="82" t="n"/>
      <c r="N266" s="82" t="n"/>
      <c r="O266" s="82" t="n"/>
      <c r="P266" s="82" t="n"/>
      <c r="Q266" s="82" t="n"/>
    </row>
    <row r="267" ht="22" customHeight="1">
      <c r="A267" s="38">
        <f t="array" ref="A267">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_xlpm.テスト内容数（テスト内容が空の場合は1）, IF(_xlpm.テスト内容数=0,1,_xlpm.テスト内容数),
_xlpm.詳細項目数&amp;"-"&amp;_xlpm.観点数&amp;"-"&amp;_xlpm.テスト内容数（テスト内容が空の場合は1）
)</f>
        <v/>
      </c>
      <c r="B267" s="58" t="n"/>
      <c r="C267" s="58" t="n"/>
      <c r="D267" s="52" t="n"/>
      <c r="E267" s="41" t="n"/>
      <c r="F267" s="99" t="inlineStr">
        <is>
          <t>送信する電文の長さが最大の場合、エラーとならないこと。</t>
        </is>
      </c>
      <c r="G267" s="99" t="n"/>
      <c r="H267" s="99" t="n"/>
      <c r="I267" s="99" t="n"/>
      <c r="J267" s="82" t="n"/>
      <c r="K267" s="82" t="n"/>
      <c r="L267" s="82" t="n"/>
      <c r="M267" s="82" t="n"/>
      <c r="N267" s="82" t="n"/>
      <c r="O267" s="82" t="n"/>
      <c r="P267" s="82" t="n"/>
      <c r="Q267" s="82" t="n"/>
    </row>
    <row r="268" ht="22" customHeight="1">
      <c r="A268" s="38">
        <f t="array" ref="A268">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_xlpm.テスト内容数（テスト内容が空の場合は1）, IF(_xlpm.テスト内容数=0,1,_xlpm.テスト内容数),
_xlpm.詳細項目数&amp;"-"&amp;_xlpm.観点数&amp;"-"&amp;_xlpm.テスト内容数（テスト内容が空の場合は1）
)</f>
        <v/>
      </c>
      <c r="B268" s="58" t="n"/>
      <c r="C268" s="58" t="n"/>
      <c r="D268" s="52" t="n"/>
      <c r="E268" s="41" t="n"/>
      <c r="F268" s="99" t="inlineStr">
        <is>
          <t>送信する電文の長さが最小の場合、エラーとならないこと。</t>
        </is>
      </c>
      <c r="G268" s="99" t="n"/>
      <c r="H268" s="99" t="n"/>
      <c r="I268" s="99" t="n"/>
      <c r="J268" s="82" t="n"/>
      <c r="K268" s="82" t="n"/>
      <c r="L268" s="82" t="n"/>
      <c r="M268" s="82" t="n"/>
      <c r="N268" s="82" t="n"/>
      <c r="O268" s="82" t="n"/>
      <c r="P268" s="82" t="n"/>
      <c r="Q268" s="82" t="n"/>
    </row>
    <row r="269" ht="33" customHeight="1">
      <c r="A269" s="38">
        <f t="array" ref="A269">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_xlpm.テスト内容数（テスト内容が空の場合は1）, IF(_xlpm.テスト内容数=0,1,_xlpm.テスト内容数),
_xlpm.詳細項目数&amp;"-"&amp;_xlpm.観点数&amp;"-"&amp;_xlpm.テスト内容数（テスト内容が空の場合は1）
)</f>
        <v/>
      </c>
      <c r="B269" s="58" t="n"/>
      <c r="C269" s="58" t="n"/>
      <c r="D269" s="52" t="n"/>
      <c r="E269" s="50" t="n"/>
      <c r="F269" s="99" t="inlineStr">
        <is>
          <t>サロゲートペア文字を許容する設計となっている場合、サロゲートペア文字を含む電文を送信した結果がエラーとならないこと。</t>
        </is>
      </c>
      <c r="G269" s="99" t="n"/>
      <c r="H269" s="99" t="n"/>
      <c r="I269" s="99" t="n"/>
      <c r="J269" s="82" t="n"/>
      <c r="K269" s="82" t="n"/>
      <c r="L269" s="82" t="n"/>
      <c r="M269" s="82" t="n"/>
      <c r="N269" s="82" t="n"/>
      <c r="O269" s="82" t="n"/>
      <c r="P269" s="82" t="n"/>
      <c r="Q269" s="82" t="n"/>
    </row>
    <row r="270" ht="22" customHeight="1">
      <c r="A270" s="38">
        <f t="array" ref="A270">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_xlpm.テスト内容数（テスト内容が空の場合は1）, IF(_xlpm.テスト内容数=0,1,_xlpm.テスト内容数),
_xlpm.詳細項目数&amp;"-"&amp;_xlpm.観点数&amp;"-"&amp;_xlpm.テスト内容数（テスト内容が空の場合は1）
)</f>
        <v/>
      </c>
      <c r="B270" s="58" t="n"/>
      <c r="C270" s="58" t="n"/>
      <c r="D270" s="52" t="n"/>
      <c r="E270" s="41" t="inlineStr">
        <is>
          <t>レコード件数</t>
        </is>
      </c>
      <c r="F270" s="99" t="inlineStr">
        <is>
          <t>期待通りの件数分、レコードが送信されること。</t>
        </is>
      </c>
      <c r="G270" s="99" t="n"/>
      <c r="H270" s="99" t="n"/>
      <c r="I270" s="99" t="n"/>
      <c r="J270" s="82" t="n"/>
      <c r="K270" s="82" t="n"/>
      <c r="L270" s="82" t="n"/>
      <c r="M270" s="82" t="n"/>
      <c r="N270" s="82" t="n"/>
      <c r="O270" s="82" t="n"/>
      <c r="P270" s="82" t="n"/>
      <c r="Q270" s="82" t="n"/>
    </row>
    <row r="271" ht="33" customHeight="1">
      <c r="A271" s="38">
        <f t="array" ref="A27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_xlpm.テスト内容数（テスト内容が空の場合は1）, IF(_xlpm.テスト内容数=0,1,_xlpm.テスト内容数),
_xlpm.詳細項目数&amp;"-"&amp;_xlpm.観点数&amp;"-"&amp;_xlpm.テスト内容数（テスト内容が空の場合は1）
)</f>
        <v/>
      </c>
      <c r="B271" s="58" t="n"/>
      <c r="C271" s="58" t="n"/>
      <c r="D271" s="52" t="n"/>
      <c r="E271" s="41" t="n"/>
      <c r="F271" s="99" t="inlineStr">
        <is>
          <t>送信するレコード件数が複数件の場合、［システム機能設計書/共通コンポーネント設計書の記載通りの挙動］となること。</t>
        </is>
      </c>
      <c r="G271" s="99" t="n"/>
      <c r="H271" s="99" t="n"/>
      <c r="I271" s="99" t="n"/>
      <c r="J271" s="82" t="n"/>
      <c r="K271" s="82" t="n"/>
      <c r="L271" s="82" t="n"/>
      <c r="M271" s="82" t="n"/>
      <c r="N271" s="82" t="n"/>
      <c r="O271" s="82" t="n"/>
      <c r="P271" s="82" t="n"/>
      <c r="Q271" s="82" t="n"/>
    </row>
    <row r="272" ht="44" customHeight="1">
      <c r="A272" s="38">
        <f t="array" ref="A272">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_xlpm.テスト内容数（テスト内容が空の場合は1）, IF(_xlpm.テスト内容数=0,1,_xlpm.テスト内容数),
_xlpm.詳細項目数&amp;"-"&amp;_xlpm.観点数&amp;"-"&amp;_xlpm.テスト内容数（テスト内容が空の場合は1）
)</f>
        <v/>
      </c>
      <c r="B272" s="58" t="n"/>
      <c r="C272" s="58" t="n"/>
      <c r="D272" s="52" t="n"/>
      <c r="E272" s="41" t="n"/>
      <c r="F272" s="99" t="inlineStr">
        <is>
          <t>1本の電文に出力するレコードの最大件数が決まっている場合、最大件数分のレコードを出力した結果が［システム機能設計書/共通コンポーネント設計書の記載通り］であること。</t>
        </is>
      </c>
      <c r="G272" s="99" t="n"/>
      <c r="H272" s="99" t="n"/>
      <c r="I272" s="99" t="n"/>
      <c r="J272" s="82" t="n"/>
      <c r="K272" s="82" t="n"/>
      <c r="L272" s="82" t="n"/>
      <c r="M272" s="82" t="n"/>
      <c r="N272" s="82" t="n"/>
      <c r="O272" s="82" t="n"/>
      <c r="P272" s="82" t="n"/>
      <c r="Q272" s="82" t="n"/>
    </row>
    <row r="273" ht="44" customHeight="1">
      <c r="A273" s="38">
        <f t="array" ref="A273">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_xlpm.テスト内容数（テスト内容が空の場合は1）, IF(_xlpm.テスト内容数=0,1,_xlpm.テスト内容数),
_xlpm.詳細項目数&amp;"-"&amp;_xlpm.観点数&amp;"-"&amp;_xlpm.テスト内容数（テスト内容が空の場合は1）
)</f>
        <v/>
      </c>
      <c r="B273" s="58" t="n"/>
      <c r="C273" s="58" t="n"/>
      <c r="D273" s="52" t="n"/>
      <c r="E273" s="41" t="n"/>
      <c r="F273" s="99" t="inlineStr">
        <is>
          <t>1本の電文に出力するレコードの最大件数が決まっている場合、最大件数+1件分のレコードを出力した結果が［システム機能設計書/共通コンポーネント設計書の記載通り］であること。</t>
        </is>
      </c>
      <c r="G273" s="99" t="n"/>
      <c r="H273" s="99" t="n"/>
      <c r="I273" s="99" t="n"/>
      <c r="J273" s="82" t="n"/>
      <c r="K273" s="82" t="n"/>
      <c r="L273" s="82" t="n"/>
      <c r="M273" s="82" t="n"/>
      <c r="N273" s="82" t="n"/>
      <c r="O273" s="82" t="n"/>
      <c r="P273" s="82" t="n"/>
      <c r="Q273" s="82" t="n"/>
    </row>
    <row r="274" ht="22" customHeight="1">
      <c r="A274" s="38">
        <f t="array" ref="A274">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_xlpm.テスト内容数（テスト内容が空の場合は1）, IF(_xlpm.テスト内容数=0,1,_xlpm.テスト内容数),
_xlpm.詳細項目数&amp;"-"&amp;_xlpm.観点数&amp;"-"&amp;_xlpm.テスト内容数（テスト内容が空の場合は1）
)</f>
        <v/>
      </c>
      <c r="B274" s="58" t="n"/>
      <c r="C274" s="58" t="n"/>
      <c r="D274" s="52" t="n"/>
      <c r="E274" s="41" t="n"/>
      <c r="F274" s="99" t="inlineStr">
        <is>
          <t>送信するレコードが0件の場合、［システム機能設計書/共通コンポーネント設計書の記載通りの挙動］となること。</t>
        </is>
      </c>
      <c r="G274" s="99" t="n"/>
      <c r="H274" s="99" t="n"/>
      <c r="I274" s="99" t="n"/>
      <c r="J274" s="82" t="n"/>
      <c r="K274" s="82" t="n"/>
      <c r="L274" s="82" t="n"/>
      <c r="M274" s="82" t="n"/>
      <c r="N274" s="82" t="n"/>
      <c r="O274" s="82" t="n"/>
      <c r="P274" s="82" t="n"/>
      <c r="Q274" s="82" t="n"/>
    </row>
    <row r="275" ht="44" customHeight="1">
      <c r="A275" s="38">
        <f t="array" ref="A275">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_xlpm.テスト内容数（テスト内容が空の場合は1）, IF(_xlpm.テスト内容数=0,1,_xlpm.テスト内容数),
_xlpm.詳細項目数&amp;"-"&amp;_xlpm.観点数&amp;"-"&amp;_xlpm.テスト内容数（テスト内容が空の場合は1）
)</f>
        <v/>
      </c>
      <c r="B275" s="58" t="n"/>
      <c r="C275" s="58" t="n"/>
      <c r="D275" s="52" t="n"/>
      <c r="E275" s="41" t="n"/>
      <c r="F275" s="99" t="inlineStr">
        <is>
          <t>送信する電文がマルチレイアウトの場合、同一レコード種類のレコードが複数件存在する時の処理が［システム機能設計書/共通コンポーネント設計書の記載通り］であること。</t>
        </is>
      </c>
      <c r="G275" s="99" t="n"/>
      <c r="H275" s="99" t="n"/>
      <c r="I275" s="99" t="n"/>
      <c r="J275" s="82" t="n"/>
      <c r="K275" s="82" t="n"/>
      <c r="L275" s="82" t="n"/>
      <c r="M275" s="82" t="n"/>
      <c r="N275" s="82" t="n"/>
      <c r="O275" s="82" t="n"/>
      <c r="P275" s="82" t="n"/>
      <c r="Q275" s="82" t="n"/>
    </row>
    <row r="276" ht="44" customHeight="1">
      <c r="A276" s="38">
        <f t="array" ref="A276">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_xlpm.テスト内容数（テスト内容が空の場合は1）, IF(_xlpm.テスト内容数=0,1,_xlpm.テスト内容数),
_xlpm.詳細項目数&amp;"-"&amp;_xlpm.観点数&amp;"-"&amp;_xlpm.テスト内容数（テスト内容が空の場合は1）
)</f>
        <v/>
      </c>
      <c r="B276" s="58" t="n"/>
      <c r="C276" s="58" t="n"/>
      <c r="D276" s="52" t="n"/>
      <c r="E276" s="41" t="n"/>
      <c r="F276" s="99" t="inlineStr">
        <is>
          <t>送信する電文がマルチレイアウトの場合、レコード種類のうちデータレコードにあたる件数が0件の時、［システム機能設計書/共通コンポーネント設計書の記載通りの挙動］であること。</t>
        </is>
      </c>
      <c r="G276" s="99" t="n"/>
      <c r="H276" s="99" t="n"/>
      <c r="I276" s="99" t="n"/>
      <c r="J276" s="82" t="n"/>
      <c r="K276" s="82" t="n"/>
      <c r="L276" s="82" t="n"/>
      <c r="M276" s="82" t="n"/>
      <c r="N276" s="82" t="n"/>
      <c r="O276" s="82" t="n"/>
      <c r="P276" s="82" t="n"/>
      <c r="Q276" s="82" t="n"/>
    </row>
    <row r="277" ht="22" customHeight="1">
      <c r="A277" s="38">
        <f t="array" ref="A277">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_xlpm.テスト内容数（テスト内容が空の場合は1）, IF(_xlpm.テスト内容数=0,1,_xlpm.テスト内容数),
_xlpm.詳細項目数&amp;"-"&amp;_xlpm.観点数&amp;"-"&amp;_xlpm.テスト内容数（テスト内容が空の場合は1）
)</f>
        <v/>
      </c>
      <c r="B277" s="58" t="n"/>
      <c r="C277" s="58" t="n"/>
      <c r="D277" s="52" t="n"/>
      <c r="E277" s="50" t="n"/>
      <c r="F277" s="99" t="inlineStr">
        <is>
          <t>送信する電文がマルチレイアウトで、全レコード種類が含まれる場合、エラーとならないこと。</t>
        </is>
      </c>
      <c r="G277" s="99" t="n"/>
      <c r="H277" s="99" t="n"/>
      <c r="I277" s="99" t="n"/>
      <c r="J277" s="82" t="n"/>
      <c r="K277" s="82" t="n"/>
      <c r="L277" s="82" t="n"/>
      <c r="M277" s="82" t="n"/>
      <c r="N277" s="82" t="n"/>
      <c r="O277" s="82" t="n"/>
      <c r="P277" s="82" t="n"/>
      <c r="Q277" s="82" t="n"/>
    </row>
    <row r="278" ht="22" customHeight="1">
      <c r="A278" s="38">
        <f t="array" ref="A278">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_xlpm.テスト内容数（テスト内容が空の場合は1）, IF(_xlpm.テスト内容数=0,1,_xlpm.テスト内容数),
_xlpm.詳細項目数&amp;"-"&amp;_xlpm.観点数&amp;"-"&amp;_xlpm.テスト内容数（テスト内容が空の場合は1）
)</f>
        <v/>
      </c>
      <c r="B278" s="286" t="n"/>
      <c r="C278" s="286" t="n"/>
      <c r="D278" s="49" t="n"/>
      <c r="E278" s="50" t="inlineStr">
        <is>
          <t>ソート順</t>
        </is>
      </c>
      <c r="F278" s="99" t="inlineStr">
        <is>
          <t>送信するレコードのソート順が［システム機能設計書/共通コンポーネント設計書の記載通り］であること。</t>
        </is>
      </c>
      <c r="G278" s="99" t="n"/>
      <c r="H278" s="99" t="n"/>
      <c r="I278" s="99" t="n"/>
      <c r="J278" s="82" t="n"/>
      <c r="K278" s="82" t="n"/>
      <c r="L278" s="82" t="n"/>
      <c r="M278" s="82" t="n"/>
      <c r="N278" s="82" t="n"/>
      <c r="O278" s="82" t="n"/>
      <c r="P278" s="82" t="n"/>
      <c r="Q278" s="82" t="n"/>
    </row>
    <row r="279" ht="22" customHeight="1">
      <c r="A279" s="38">
        <f t="array" ref="A279">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_xlpm.テスト内容数（テスト内容が空の場合は1）, IF(_xlpm.テスト内容数=0,1,_xlpm.テスト内容数),
_xlpm.詳細項目数&amp;"-"&amp;_xlpm.観点数&amp;"-"&amp;_xlpm.テスト内容数（テスト内容が空の場合は1）
)</f>
        <v/>
      </c>
      <c r="B279" s="39" t="inlineStr">
        <is>
          <t>ログ出力</t>
        </is>
      </c>
      <c r="C279" s="40" t="inlineStr">
        <is>
          <t>ファイル操作</t>
        </is>
      </c>
      <c r="D279" s="40" t="inlineStr">
        <is>
          <t>-</t>
        </is>
      </c>
      <c r="E279" s="40" t="inlineStr">
        <is>
          <t>-</t>
        </is>
      </c>
      <c r="F279" s="99" t="inlineStr">
        <is>
          <t>ログファイルの格納先が［方式設計書の記載通り］であること。</t>
        </is>
      </c>
      <c r="G279" s="99" t="n"/>
      <c r="H279" s="99" t="n"/>
      <c r="I279" s="99" t="n"/>
      <c r="J279" s="82" t="n"/>
      <c r="K279" s="82" t="n"/>
      <c r="L279" s="44" t="n"/>
      <c r="M279" s="82" t="n"/>
      <c r="N279" s="82" t="n"/>
      <c r="O279" s="82" t="n"/>
      <c r="P279" s="82" t="n"/>
      <c r="Q279" s="82" t="n"/>
    </row>
    <row r="280" ht="22" customHeight="1">
      <c r="A280" s="38">
        <f t="array" ref="A280">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_xlpm.テスト内容数（テスト内容が空の場合は1）, IF(_xlpm.テスト内容数=0,1,_xlpm.テスト内容数),
_xlpm.詳細項目数&amp;"-"&amp;_xlpm.観点数&amp;"-"&amp;_xlpm.テスト内容数（テスト内容が空の場合は1）
)</f>
        <v/>
      </c>
      <c r="B280" s="48" t="n"/>
      <c r="C280" s="54" t="n"/>
      <c r="D280" s="41" t="n"/>
      <c r="E280" s="41" t="n"/>
      <c r="F280" s="99" t="inlineStr">
        <is>
          <t>ログファイルのファイル名が［方式設計書の記載通り］であること。</t>
        </is>
      </c>
      <c r="G280" s="99" t="n"/>
      <c r="H280" s="99" t="n"/>
      <c r="I280" s="99" t="n"/>
      <c r="J280" s="82" t="n"/>
      <c r="K280" s="82" t="n"/>
      <c r="L280" s="44" t="n"/>
      <c r="M280" s="82" t="n"/>
      <c r="N280" s="82" t="n"/>
      <c r="O280" s="82" t="n"/>
      <c r="P280" s="82" t="n"/>
      <c r="Q280" s="82" t="n"/>
    </row>
    <row r="281" ht="22" customHeight="1">
      <c r="A281" s="38">
        <f t="array" ref="A28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_xlpm.テスト内容数（テスト内容が空の場合は1）, IF(_xlpm.テスト内容数=0,1,_xlpm.テスト内容数),
_xlpm.詳細項目数&amp;"-"&amp;_xlpm.観点数&amp;"-"&amp;_xlpm.テスト内容数（テスト内容が空の場合は1）
)</f>
        <v/>
      </c>
      <c r="B281" s="48" t="n"/>
      <c r="C281" s="54" t="n"/>
      <c r="D281" s="41" t="n"/>
      <c r="E281" s="41" t="n"/>
      <c r="F281" s="99" t="inlineStr">
        <is>
          <t>ログファイルのアクセス権限が［方式設計書の記載通り］であること。</t>
        </is>
      </c>
      <c r="G281" s="99" t="n"/>
      <c r="H281" s="99" t="n"/>
      <c r="I281" s="99" t="n"/>
      <c r="J281" s="82" t="n"/>
      <c r="K281" s="82" t="n"/>
      <c r="L281" s="44" t="n"/>
      <c r="M281" s="82" t="n"/>
      <c r="N281" s="82" t="n"/>
      <c r="O281" s="82" t="n"/>
      <c r="P281" s="82" t="n"/>
      <c r="Q281" s="82" t="n"/>
    </row>
    <row r="282" ht="22" customHeight="1">
      <c r="A282" s="38">
        <f t="array" ref="A282">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_xlpm.テスト内容数（テスト内容が空の場合は1）, IF(_xlpm.テスト内容数=0,1,_xlpm.テスト内容数),
_xlpm.詳細項目数&amp;"-"&amp;_xlpm.観点数&amp;"-"&amp;_xlpm.テスト内容数（テスト内容が空の場合は1）
)</f>
        <v/>
      </c>
      <c r="B282" s="48" t="n"/>
      <c r="C282" s="75" t="n"/>
      <c r="D282" s="50" t="n"/>
      <c r="E282" s="50" t="n"/>
      <c r="F282" s="99" t="inlineStr">
        <is>
          <t>ログファイルの所有権が［方式設計書の記載通り］であること。</t>
        </is>
      </c>
      <c r="G282" s="99" t="n"/>
      <c r="H282" s="99" t="n"/>
      <c r="I282" s="99" t="n"/>
      <c r="J282" s="82" t="n"/>
      <c r="K282" s="82" t="n"/>
      <c r="L282" s="44" t="n"/>
      <c r="M282" s="82" t="n"/>
      <c r="N282" s="82" t="n"/>
      <c r="O282" s="82" t="n"/>
      <c r="P282" s="82" t="n"/>
      <c r="Q282" s="82" t="n"/>
    </row>
    <row r="283" ht="22" customHeight="1">
      <c r="A283" s="38">
        <f t="array" ref="A283">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_xlpm.テスト内容数（テスト内容が空の場合は1）, IF(_xlpm.テスト内容数=0,1,_xlpm.テスト内容数),
_xlpm.詳細項目数&amp;"-"&amp;_xlpm.観点数&amp;"-"&amp;_xlpm.テスト内容数（テスト内容が空の場合は1）
)</f>
        <v/>
      </c>
      <c r="B283" s="48" t="n"/>
      <c r="C283" s="41" t="inlineStr">
        <is>
          <t>ログ編集</t>
        </is>
      </c>
      <c r="D283" s="41" t="inlineStr">
        <is>
          <t>フォーマット定義</t>
        </is>
      </c>
      <c r="E283" s="99" t="inlineStr">
        <is>
          <t>文字コード</t>
        </is>
      </c>
      <c r="F283" s="99" t="inlineStr">
        <is>
          <t>ログファイルの文字コードが［方式設計書の記載通り］であること。</t>
        </is>
      </c>
      <c r="G283" s="99" t="n"/>
      <c r="H283" s="99" t="n"/>
      <c r="I283" s="99" t="n"/>
      <c r="J283" s="82" t="n"/>
      <c r="K283" s="82" t="n"/>
      <c r="L283" s="44" t="n"/>
      <c r="M283" s="82" t="n"/>
      <c r="N283" s="82" t="n"/>
      <c r="O283" s="82" t="n"/>
      <c r="P283" s="82" t="n"/>
      <c r="Q283" s="82" t="n"/>
    </row>
    <row r="284" ht="22" customHeight="1">
      <c r="A284" s="38">
        <f t="array" ref="A284">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_xlpm.テスト内容数（テスト内容が空の場合は1）, IF(_xlpm.テスト内容数=0,1,_xlpm.テスト内容数),
_xlpm.詳細項目数&amp;"-"&amp;_xlpm.観点数&amp;"-"&amp;_xlpm.テスト内容数（テスト内容が空の場合は1）
)</f>
        <v/>
      </c>
      <c r="B284" s="48" t="n"/>
      <c r="C284" s="54" t="n"/>
      <c r="D284" s="41" t="n"/>
      <c r="E284" s="50" t="inlineStr">
        <is>
          <t>改行コード</t>
        </is>
      </c>
      <c r="F284" s="99" t="inlineStr">
        <is>
          <t>ログファイルの改行コードが［方式設計書の記載通り］であること。</t>
        </is>
      </c>
      <c r="G284" s="99" t="n"/>
      <c r="H284" s="99" t="n"/>
      <c r="I284" s="99" t="n"/>
      <c r="J284" s="82" t="n"/>
      <c r="K284" s="82" t="n"/>
      <c r="L284" s="44" t="n"/>
      <c r="M284" s="82" t="n"/>
      <c r="N284" s="82" t="n"/>
      <c r="O284" s="82" t="n"/>
      <c r="P284" s="82" t="n"/>
      <c r="Q284" s="82" t="n"/>
    </row>
    <row r="285" ht="22" customHeight="1">
      <c r="A285" s="38">
        <f t="array" ref="A285">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_xlpm.テスト内容数（テスト内容が空の場合は1）, IF(_xlpm.テスト内容数=0,1,_xlpm.テスト内容数),
_xlpm.詳細項目数&amp;"-"&amp;_xlpm.観点数&amp;"-"&amp;_xlpm.テスト内容数（テスト内容が空の場合は1）
)</f>
        <v/>
      </c>
      <c r="B285" s="48" t="n"/>
      <c r="C285" s="54" t="n"/>
      <c r="D285" s="41" t="n"/>
      <c r="E285" s="99" t="inlineStr">
        <is>
          <t>区切り文字</t>
        </is>
      </c>
      <c r="F285" s="99" t="inlineStr">
        <is>
          <t>ログファイルの区切り文字が［方式設計書の記載通り］であること。</t>
        </is>
      </c>
      <c r="G285" s="99" t="n"/>
      <c r="H285" s="99" t="n"/>
      <c r="I285" s="99" t="n"/>
      <c r="J285" s="82" t="n"/>
      <c r="K285" s="82" t="n"/>
      <c r="L285" s="44" t="n"/>
      <c r="M285" s="82" t="n"/>
      <c r="N285" s="82" t="n"/>
      <c r="O285" s="82" t="n"/>
      <c r="P285" s="82" t="n"/>
      <c r="Q285" s="82" t="n"/>
    </row>
    <row r="286" ht="22" customHeight="1">
      <c r="A286" s="38">
        <f t="array" ref="A286">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_xlpm.テスト内容数（テスト内容が空の場合は1）, IF(_xlpm.テスト内容数=0,1,_xlpm.テスト内容数),
_xlpm.詳細項目数&amp;"-"&amp;_xlpm.観点数&amp;"-"&amp;_xlpm.テスト内容数（テスト内容が空の場合は1）
)</f>
        <v/>
      </c>
      <c r="B286" s="48" t="n"/>
      <c r="C286" s="54" t="n"/>
      <c r="D286" s="50" t="n"/>
      <c r="E286" s="50" t="inlineStr">
        <is>
          <t>ソート順</t>
        </is>
      </c>
      <c r="F286" s="99" t="inlineStr">
        <is>
          <t>ログファイルの項目並び順が［方式設計書の記載通り］であること。</t>
        </is>
      </c>
      <c r="G286" s="99" t="n"/>
      <c r="H286" s="99" t="n"/>
      <c r="I286" s="99" t="n"/>
      <c r="J286" s="82" t="n"/>
      <c r="K286" s="82" t="n"/>
      <c r="L286" s="44" t="n"/>
      <c r="M286" s="82" t="n"/>
      <c r="N286" s="82" t="n"/>
      <c r="O286" s="82" t="n"/>
      <c r="P286" s="82" t="n"/>
      <c r="Q286" s="82" t="n"/>
    </row>
    <row r="287" ht="22" customHeight="1">
      <c r="A287" s="38">
        <f t="array" ref="A287">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_xlpm.テスト内容数（テスト内容が空の場合は1）, IF(_xlpm.テスト内容数=0,1,_xlpm.テスト内容数),
_xlpm.詳細項目数&amp;"-"&amp;_xlpm.観点数&amp;"-"&amp;_xlpm.テスト内容数（テスト内容が空の場合は1）
)</f>
        <v/>
      </c>
      <c r="B287" s="48" t="n"/>
      <c r="C287" s="48" t="n"/>
      <c r="D287" s="41" t="inlineStr">
        <is>
          <t>出力内容</t>
        </is>
      </c>
      <c r="E287" s="41" t="inlineStr">
        <is>
          <t>編集仕様</t>
        </is>
      </c>
      <c r="F287" s="99" t="inlineStr">
        <is>
          <t>出力された正常時のログの内容が［メッセージ設計書の記載通り］であること。</t>
        </is>
      </c>
      <c r="G287" s="99" t="n"/>
      <c r="H287" s="99" t="n"/>
      <c r="I287" s="99" t="n"/>
      <c r="J287" s="82" t="n"/>
      <c r="K287" s="82" t="n"/>
      <c r="L287" s="44" t="n"/>
      <c r="M287" s="82" t="n"/>
      <c r="N287" s="82" t="n"/>
      <c r="O287" s="82" t="n"/>
      <c r="P287" s="82" t="n"/>
      <c r="Q287" s="82" t="n"/>
    </row>
    <row r="288" ht="22" customHeight="1">
      <c r="A288" s="38">
        <f t="array" ref="A288">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_xlpm.テスト内容数（テスト内容が空の場合は1）, IF(_xlpm.テスト内容数=0,1,_xlpm.テスト内容数),
_xlpm.詳細項目数&amp;"-"&amp;_xlpm.観点数&amp;"-"&amp;_xlpm.テスト内容数（テスト内容が空の場合は1）
)</f>
        <v/>
      </c>
      <c r="B288" s="48" t="n"/>
      <c r="C288" s="48" t="n"/>
      <c r="D288" s="52" t="n"/>
      <c r="E288" s="41" t="n"/>
      <c r="F288" s="99" t="inlineStr">
        <is>
          <t>出力された異常時のログ（エラーログ）の内容が［メッセージ設計書の記載通り］であること。</t>
        </is>
      </c>
      <c r="G288" s="99" t="n"/>
      <c r="H288" s="99" t="n"/>
      <c r="I288" s="99" t="n"/>
      <c r="J288" s="82" t="n"/>
      <c r="K288" s="82" t="n"/>
      <c r="L288" s="44" t="n"/>
      <c r="M288" s="82" t="n"/>
      <c r="N288" s="82" t="n"/>
      <c r="O288" s="82" t="n"/>
      <c r="P288" s="82" t="n"/>
      <c r="Q288" s="82" t="n"/>
    </row>
    <row r="289" ht="33" customHeight="1">
      <c r="A289" s="38">
        <f t="array" ref="A289">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_xlpm.テスト内容数（テスト内容が空の場合は1）, IF(_xlpm.テスト内容数=0,1,_xlpm.テスト内容数),
_xlpm.詳細項目数&amp;"-"&amp;_xlpm.観点数&amp;"-"&amp;_xlpm.テスト内容数（テスト内容が空の場合は1）
)</f>
        <v/>
      </c>
      <c r="B289" s="48" t="n"/>
      <c r="C289" s="48" t="n"/>
      <c r="D289" s="52" t="n"/>
      <c r="E289" s="41" t="n"/>
      <c r="F289" s="99" t="inlineStr">
        <is>
          <t>取得した値を変換する設計となっている場合、出力された値が［システム機能設計書/共通コンポーネント設計書の記載通り］であること。</t>
        </is>
      </c>
      <c r="G289" s="99" t="n"/>
      <c r="H289" s="99" t="n"/>
      <c r="I289" s="99" t="n"/>
      <c r="J289" s="82" t="n"/>
      <c r="K289" s="82" t="n"/>
      <c r="L289" s="44" t="n"/>
      <c r="M289" s="82" t="n"/>
      <c r="N289" s="82" t="n"/>
      <c r="O289" s="82" t="n"/>
      <c r="P289" s="82" t="n"/>
      <c r="Q289" s="82" t="n"/>
    </row>
    <row r="290" ht="33" customHeight="1">
      <c r="A290" s="38">
        <f t="array" ref="A290">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_xlpm.テスト内容数（テスト内容が空の場合は1）, IF(_xlpm.テスト内容数=0,1,_xlpm.テスト内容数),
_xlpm.詳細項目数&amp;"-"&amp;_xlpm.観点数&amp;"-"&amp;_xlpm.テスト内容数（テスト内容が空の場合は1）
)</f>
        <v/>
      </c>
      <c r="B290" s="48" t="n"/>
      <c r="C290" s="48" t="n"/>
      <c r="D290" s="52" t="n"/>
      <c r="E290" s="41" t="n"/>
      <c r="F290" s="99" t="inlineStr">
        <is>
          <t>取得した値を編集する処理が分岐する設計となっている場合、出力された値が［システム機能設計書/共通コンポーネント設計書の記載通り］であること。</t>
        </is>
      </c>
      <c r="G290" s="99" t="n"/>
      <c r="H290" s="99" t="n"/>
      <c r="I290" s="99" t="n"/>
      <c r="J290" s="82" t="n"/>
      <c r="K290" s="82" t="n"/>
      <c r="L290" s="44" t="n"/>
      <c r="M290" s="82" t="n"/>
      <c r="N290" s="82" t="n"/>
      <c r="O290" s="82" t="n"/>
      <c r="P290" s="82" t="n"/>
      <c r="Q290" s="82" t="n"/>
    </row>
    <row r="291" ht="33" customHeight="1">
      <c r="A291" s="38">
        <f t="array" ref="A29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_xlpm.テスト内容数（テスト内容が空の場合は1）, IF(_xlpm.テスト内容数=0,1,_xlpm.テスト内容数),
_xlpm.詳細項目数&amp;"-"&amp;_xlpm.観点数&amp;"-"&amp;_xlpm.テスト内容数（テスト内容が空の場合は1）
)</f>
        <v/>
      </c>
      <c r="B291" s="48" t="n"/>
      <c r="C291" s="48" t="n"/>
      <c r="D291" s="52" t="n"/>
      <c r="E291" s="41" t="n"/>
      <c r="F291" s="99" t="inlineStr">
        <is>
          <t>ループ処理によって、取得した値の編集を繰り返す設計となっている場合、出力された値が［システム機能設計書/共通コンポーネント設計書の記載通り］であること。</t>
        </is>
      </c>
      <c r="G291" s="99" t="n"/>
      <c r="H291" s="99" t="n"/>
      <c r="I291" s="99" t="n"/>
      <c r="J291" s="82" t="n"/>
      <c r="K291" s="82" t="n"/>
      <c r="L291" s="44" t="n"/>
      <c r="M291" s="82" t="n"/>
      <c r="N291" s="82" t="n"/>
      <c r="O291" s="82" t="n"/>
      <c r="P291" s="82" t="n"/>
      <c r="Q291" s="82" t="n"/>
    </row>
    <row r="292" ht="33" customHeight="1">
      <c r="A292" s="38">
        <f t="array" ref="A292">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_xlpm.テスト内容数（テスト内容が空の場合は1）, IF(_xlpm.テスト内容数=0,1,_xlpm.テスト内容数),
_xlpm.詳細項目数&amp;"-"&amp;_xlpm.観点数&amp;"-"&amp;_xlpm.テスト内容数（テスト内容が空の場合は1）
)</f>
        <v/>
      </c>
      <c r="B292" s="48" t="n"/>
      <c r="C292" s="48" t="n"/>
      <c r="D292" s="52" t="n"/>
      <c r="E292" s="41" t="n"/>
      <c r="F292" s="99" t="inlineStr">
        <is>
          <t>取得した値を使用して計算する設計となっている場合、出力された値が［システム機能設計書/共通コンポーネント設計書の記載通り］であること。</t>
        </is>
      </c>
      <c r="G292" s="99" t="n"/>
      <c r="H292" s="99" t="n"/>
      <c r="I292" s="99" t="n"/>
      <c r="J292" s="82" t="n"/>
      <c r="K292" s="82" t="n"/>
      <c r="L292" s="44" t="n"/>
      <c r="M292" s="82" t="n"/>
      <c r="N292" s="82" t="n"/>
      <c r="O292" s="82" t="n"/>
      <c r="P292" s="82" t="n"/>
      <c r="Q292" s="82" t="n"/>
    </row>
    <row r="293" ht="33" customHeight="1">
      <c r="A293" s="38">
        <f t="array" ref="A293">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_xlpm.テスト内容数（テスト内容が空の場合は1）, IF(_xlpm.テスト内容数=0,1,_xlpm.テスト内容数),
_xlpm.詳細項目数&amp;"-"&amp;_xlpm.観点数&amp;"-"&amp;_xlpm.テスト内容数（テスト内容が空の場合は1）
)</f>
        <v/>
      </c>
      <c r="B293" s="48" t="n"/>
      <c r="C293" s="48" t="n"/>
      <c r="D293" s="52" t="n"/>
      <c r="E293" s="41" t="n"/>
      <c r="F293" s="99" t="inlineStr">
        <is>
          <t>取得した値を連結する設計となっている場合、出力された値が［システム機能設計書/共通コンポーネント設計書の記載通り］であること。</t>
        </is>
      </c>
      <c r="G293" s="99" t="n"/>
      <c r="H293" s="99" t="n"/>
      <c r="I293" s="99" t="n"/>
      <c r="J293" s="82" t="n"/>
      <c r="K293" s="82" t="n"/>
      <c r="L293" s="44" t="n"/>
      <c r="M293" s="82" t="n"/>
      <c r="N293" s="82" t="n"/>
      <c r="O293" s="82" t="n"/>
      <c r="P293" s="82" t="n"/>
      <c r="Q293" s="82" t="n"/>
    </row>
    <row r="294" ht="22" customHeight="1">
      <c r="A294" s="38">
        <f t="array" ref="A294">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_xlpm.テスト内容数（テスト内容が空の場合は1）, IF(_xlpm.テスト内容数=0,1,_xlpm.テスト内容数),
_xlpm.詳細項目数&amp;"-"&amp;_xlpm.観点数&amp;"-"&amp;_xlpm.テスト内容数（テスト内容が空の場合は1）
)</f>
        <v/>
      </c>
      <c r="B294" s="48" t="n"/>
      <c r="C294" s="48" t="n"/>
      <c r="D294" s="52" t="n"/>
      <c r="E294" s="41" t="n"/>
      <c r="F294" s="99" t="inlineStr">
        <is>
          <t>取得した値を暗号化する設計となっている場合、出力された値が暗号化されること。</t>
        </is>
      </c>
      <c r="G294" s="99" t="n"/>
      <c r="H294" s="99" t="n"/>
      <c r="I294" s="99" t="n"/>
      <c r="J294" s="82" t="n"/>
      <c r="K294" s="82" t="n"/>
      <c r="L294" s="44" t="n"/>
      <c r="M294" s="82" t="n"/>
      <c r="N294" s="82" t="n"/>
      <c r="O294" s="82" t="n"/>
      <c r="P294" s="82" t="n"/>
      <c r="Q294" s="82" t="n"/>
    </row>
    <row r="295" ht="22" customHeight="1">
      <c r="A295" s="38">
        <f t="array" ref="A295">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_xlpm.テスト内容数（テスト内容が空の場合は1）, IF(_xlpm.テスト内容数=0,1,_xlpm.テスト内容数),
_xlpm.詳細項目数&amp;"-"&amp;_xlpm.観点数&amp;"-"&amp;_xlpm.テスト内容数（テスト内容が空の場合は1）
)</f>
        <v/>
      </c>
      <c r="B295" s="57" t="n"/>
      <c r="C295" s="57" t="n"/>
      <c r="D295" s="49" t="n"/>
      <c r="E295" s="50" t="n"/>
      <c r="F295" s="99" t="inlineStr">
        <is>
          <t>取得した値をマスキングする設計となっている場合、出力された値がマスキングされること。</t>
        </is>
      </c>
      <c r="G295" s="99" t="n"/>
      <c r="H295" s="99" t="n"/>
      <c r="I295" s="99" t="n"/>
      <c r="J295" s="82" t="n"/>
      <c r="K295" s="82" t="n"/>
      <c r="L295" s="44" t="n"/>
      <c r="M295" s="82" t="n"/>
      <c r="N295" s="82" t="n"/>
      <c r="O295" s="82" t="n"/>
      <c r="P295" s="82" t="n"/>
      <c r="Q295" s="82" t="n"/>
    </row>
  </sheetData>
  <autoFilter ref="A10:Q10"/>
  <mergeCells count="2">
    <mergeCell ref="B112:B113"/>
    <mergeCell ref="B132:B133"/>
  </mergeCells>
  <dataValidations count="1">
    <dataValidation sqref="O11:O295" showDropDown="0" showInputMessage="1" showErrorMessage="1" allowBlank="1" type="list">
      <formula1>"OK,NG"</formula1>
    </dataValidation>
  </dataValidations>
  <printOptions horizontalCentered="1"/>
  <pageMargins left="0.3937007874015748" right="0.3937007874015748" top="0.3937007874015748" bottom="0.3937007874015748" header="0.1968503937007874" footer="0.1968503937007874"/>
  <pageSetup orientation="landscape" paperSize="9" scale="56" fitToHeight="0"/>
  <headerFooter alignWithMargins="0">
    <oddHeader/>
    <oddFooter>&amp;C&amp;"ＭＳ 明朝,標準"&amp;9 - &amp;P -</oddFooter>
    <evenHeader/>
    <evenFooter/>
    <firstHeader/>
    <firstFooter/>
  </headerFooter>
  <rowBreaks count="8" manualBreakCount="8">
    <brk id="41" min="0" max="17" man="1"/>
    <brk id="77" min="0" max="17" man="1"/>
    <brk id="110" min="0" max="17" man="1"/>
    <brk id="148" min="0" max="17" man="1"/>
    <brk id="182" min="0" max="17" man="1"/>
    <brk id="209" min="0" max="17" man="1"/>
    <brk id="242" min="0" max="17" man="1"/>
    <brk id="278" min="0" max="17" man="1"/>
  </rowBreaks>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T314"/>
  <sheetViews>
    <sheetView showGridLines="0" view="pageBreakPreview" zoomScaleNormal="100" zoomScaleSheetLayoutView="100" workbookViewId="0">
      <pane ySplit="10" topLeftCell="A11" activePane="bottomLeft" state="frozen"/>
      <selection pane="bottomLeft" activeCell="A1" sqref="A1"/>
    </sheetView>
  </sheetViews>
  <sheetFormatPr baseColWidth="8" defaultColWidth="9" defaultRowHeight="11"/>
  <cols>
    <col width="8.58203125" customWidth="1" style="25" min="1" max="2"/>
    <col width="8.58203125" customWidth="1" style="26" min="3" max="3"/>
    <col width="8.58203125" customWidth="1" style="25" min="4" max="5"/>
    <col width="40.58203125" customWidth="1" style="25" min="6" max="6"/>
    <col hidden="1" outlineLevel="1" width="28.08203125" customWidth="1" style="25" min="7" max="7"/>
    <col collapsed="1" width="16.33203125" customWidth="1" style="25" min="8" max="8"/>
    <col width="16.33203125" customWidth="1" style="25" min="9" max="9"/>
    <col width="25.58203125" customWidth="1" style="25" min="10" max="11"/>
    <col width="19.25" bestFit="1" customWidth="1" style="25" min="12" max="12"/>
    <col width="12.58203125" customWidth="1" style="25" min="13" max="13"/>
    <col width="8.58203125" customWidth="1" style="25" min="14" max="18"/>
    <col width="9" customWidth="1" style="25" min="19" max="16384"/>
  </cols>
  <sheetData>
    <row r="1">
      <c r="A1" s="25">
        <f>IF(INDIRECT("変更履歴!E1")&lt;&gt;"",INDIRECT("変更履歴!E1"),"")</f>
        <v/>
      </c>
    </row>
    <row r="2">
      <c r="A2" s="25" t="inlineStr">
        <is>
          <t>単体テスト仕様書(リクエスト単体テスト)</t>
        </is>
      </c>
    </row>
    <row r="3"/>
    <row r="4">
      <c r="A4" s="25">
        <f>"サブシステム名："&amp;INDIRECT("変更履歴!E3")</f>
        <v/>
      </c>
    </row>
    <row r="5">
      <c r="A5" s="25" t="inlineStr">
        <is>
          <t>機能名：</t>
        </is>
      </c>
    </row>
    <row r="6">
      <c r="A6" s="25" t="inlineStr">
        <is>
          <t>取引名：</t>
        </is>
      </c>
      <c r="O6" s="25">
        <f>"作成者："&amp;INDIRECT("変更履歴!AC1")</f>
        <v/>
      </c>
      <c r="Q6" s="25">
        <f>"更新者："&amp;INDIRECT("変更履歴!AC2")</f>
        <v/>
      </c>
    </row>
    <row r="7">
      <c r="A7" s="25" t="inlineStr">
        <is>
          <t>テストターゲット名：</t>
        </is>
      </c>
      <c r="O7" s="25">
        <f>"作成日："&amp;IF(INDIRECT("変更履歴!AG1")="","",TEXT(INDIRECT("変更履歴!AG1"),"yyyy/mm/dd"))</f>
        <v/>
      </c>
      <c r="Q7" s="25">
        <f>"更新日："&amp;IF(INDIRECT("変更履歴!AG2")="","",TEXT(INDIRECT("変更履歴!AG2"),"yyyy/mm/dd"))</f>
        <v/>
      </c>
    </row>
    <row r="8" ht="11.5" customHeight="1" thickBot="1">
      <c r="A8" s="27" t="inlineStr">
        <is>
          <t>リクエストID：</t>
        </is>
      </c>
      <c r="B8" s="27" t="n"/>
      <c r="C8" s="28" t="n"/>
      <c r="D8" s="27" t="n"/>
      <c r="E8" s="27" t="n"/>
      <c r="F8" s="27" t="n"/>
      <c r="G8" s="27" t="n"/>
      <c r="H8" s="27" t="n"/>
      <c r="I8" s="27" t="n"/>
      <c r="J8" s="27" t="n"/>
      <c r="K8" s="27" t="n"/>
      <c r="L8" s="27" t="n"/>
      <c r="M8" s="27" t="n"/>
      <c r="N8" s="27" t="n"/>
      <c r="O8" s="27" t="n"/>
      <c r="P8" s="27" t="n"/>
      <c r="Q8" s="27" t="n"/>
      <c r="R8" s="27" t="n"/>
    </row>
    <row r="9" ht="12" customHeight="1" thickTop="1"/>
    <row r="10" customFormat="1" s="88">
      <c r="A10" s="31" t="inlineStr">
        <is>
          <t>ケースNo</t>
        </is>
      </c>
      <c r="B10" s="32" t="inlineStr">
        <is>
          <t>大項目</t>
        </is>
      </c>
      <c r="C10" s="32" t="inlineStr">
        <is>
          <t>中項目</t>
        </is>
      </c>
      <c r="D10" s="32" t="inlineStr">
        <is>
          <t>小項目</t>
        </is>
      </c>
      <c r="E10" s="32" t="inlineStr">
        <is>
          <t>詳細</t>
        </is>
      </c>
      <c r="F10" s="32" t="inlineStr">
        <is>
          <t>観点</t>
        </is>
      </c>
      <c r="G10" s="32" t="inlineStr">
        <is>
          <t>対象外理由</t>
        </is>
      </c>
      <c r="H10" s="32" t="inlineStr">
        <is>
          <t>対応設計書</t>
        </is>
      </c>
      <c r="I10" s="32" t="inlineStr">
        <is>
          <t>対応箇所</t>
        </is>
      </c>
      <c r="J10" s="33" t="inlineStr">
        <is>
          <t>テスト内容</t>
        </is>
      </c>
      <c r="K10" s="34" t="inlineStr">
        <is>
          <t>想定結果</t>
        </is>
      </c>
      <c r="L10" s="35" t="inlineStr">
        <is>
          <t>テストデータシート名</t>
        </is>
      </c>
      <c r="M10" s="35" t="inlineStr">
        <is>
          <t>データNo</t>
        </is>
      </c>
      <c r="N10" s="36" t="inlineStr">
        <is>
          <t>実施者</t>
        </is>
      </c>
      <c r="O10" s="36" t="inlineStr">
        <is>
          <t>実施日</t>
        </is>
      </c>
      <c r="P10" s="36" t="inlineStr">
        <is>
          <t>実施結果</t>
        </is>
      </c>
      <c r="Q10" s="36" t="inlineStr">
        <is>
          <t>確認者</t>
        </is>
      </c>
      <c r="R10" s="37" t="inlineStr">
        <is>
          <t>確認日</t>
        </is>
      </c>
    </row>
    <row r="11" ht="22" customHeight="1">
      <c r="A11" s="38">
        <f t="array" ref="A1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_xlpm.テスト内容数（テスト内容が空の場合は1）, IF(_xlpm.テスト内容数=0,1,_xlpm.テスト内容数),
_xlpm.詳細項目数&amp;"-"&amp;_xlpm.観点数&amp;"-"&amp;_xlpm.テスト内容数（テスト内容が空の場合は1）
)</f>
        <v/>
      </c>
      <c r="B11" s="39" t="inlineStr">
        <is>
          <t>バリデーション</t>
        </is>
      </c>
      <c r="C11" s="40" t="inlineStr">
        <is>
          <t>単項目バリデーション</t>
        </is>
      </c>
      <c r="D11" s="41" t="inlineStr">
        <is>
          <t>必須バリデーション</t>
        </is>
      </c>
      <c r="E11" s="40" t="inlineStr">
        <is>
          <t>必須項目</t>
        </is>
      </c>
      <c r="F11" s="40" t="inlineStr">
        <is>
          <t>必須項目が未入力の場合、エラーとなること。</t>
        </is>
      </c>
      <c r="G11" s="44" t="n"/>
      <c r="H11" s="107" t="n"/>
      <c r="I11" s="107" t="n"/>
      <c r="J11" s="107" t="n"/>
      <c r="K11" s="107" t="n"/>
      <c r="L11" s="44" t="n"/>
      <c r="M11" s="44" t="n"/>
      <c r="N11" s="283" t="n"/>
      <c r="O11" s="46" t="n"/>
      <c r="P11" s="46" t="n"/>
      <c r="Q11" s="283" t="n"/>
      <c r="R11" s="82" t="n"/>
    </row>
    <row r="12" ht="22" customHeight="1">
      <c r="A12" s="38">
        <f t="array" ref="A12">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_xlpm.テスト内容数（テスト内容が空の場合は1）, IF(_xlpm.テスト内容数=0,1,_xlpm.テスト内容数),
_xlpm.詳細項目数&amp;"-"&amp;_xlpm.観点数&amp;"-"&amp;_xlpm.テスト内容数（テスト内容が空の場合は1）
)</f>
        <v/>
      </c>
      <c r="B12" s="48" t="n"/>
      <c r="C12" s="48" t="n"/>
      <c r="D12" s="41" t="n"/>
      <c r="E12" s="40" t="inlineStr">
        <is>
          <t>任意項目</t>
        </is>
      </c>
      <c r="F12" s="40" t="inlineStr">
        <is>
          <t>必須項目が入力され、任意項目が未入力の場合、エラーとならないこと。</t>
        </is>
      </c>
      <c r="G12" s="44" t="n"/>
      <c r="H12" s="107" t="n"/>
      <c r="I12" s="107" t="n"/>
      <c r="J12" s="107" t="n"/>
      <c r="K12" s="107" t="n"/>
      <c r="L12" s="44" t="n"/>
      <c r="M12" s="44" t="n"/>
      <c r="N12" s="283" t="n"/>
      <c r="O12" s="46" t="n"/>
      <c r="P12" s="46" t="n"/>
      <c r="Q12" s="283" t="n"/>
      <c r="R12" s="82" t="n"/>
    </row>
    <row r="13" ht="33" customFormat="1" customHeight="1" s="88">
      <c r="A13" s="38">
        <f t="array" ref="A13">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_xlpm.テスト内容数（テスト内容が空の場合は1）, IF(_xlpm.テスト内容数=0,1,_xlpm.テスト内容数),
_xlpm.詳細項目数&amp;"-"&amp;_xlpm.観点数&amp;"-"&amp;_xlpm.テスト内容数（テスト内容が空の場合は1）
)</f>
        <v/>
      </c>
      <c r="B13" s="48" t="n"/>
      <c r="C13" s="48" t="n"/>
      <c r="D13" s="40" t="inlineStr">
        <is>
          <t>文字列長バリデーション</t>
        </is>
      </c>
      <c r="E13" s="40" t="inlineStr">
        <is>
          <t>-</t>
        </is>
      </c>
      <c r="F13" s="40" t="inlineStr">
        <is>
          <t>文字列項目に最大長が入力された場合、エラーとならないこと。</t>
        </is>
      </c>
      <c r="G13" s="44" t="n"/>
      <c r="H13" s="107" t="n"/>
      <c r="I13" s="107" t="n"/>
      <c r="J13" s="107" t="n"/>
      <c r="K13" s="107" t="n"/>
      <c r="L13" s="44" t="n"/>
      <c r="M13" s="44" t="n"/>
      <c r="N13" s="82" t="n"/>
      <c r="O13" s="46" t="n"/>
      <c r="P13" s="82" t="n"/>
      <c r="Q13" s="46" t="n"/>
      <c r="R13" s="283" t="n"/>
    </row>
    <row r="14" ht="22" customFormat="1" customHeight="1" s="88">
      <c r="A14" s="38">
        <f t="array" ref="A14">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_xlpm.テスト内容数（テスト内容が空の場合は1）, IF(_xlpm.テスト内容数=0,1,_xlpm.テスト内容数),
_xlpm.詳細項目数&amp;"-"&amp;_xlpm.観点数&amp;"-"&amp;_xlpm.テスト内容数（テスト内容が空の場合は1）
)</f>
        <v/>
      </c>
      <c r="B14" s="48" t="n"/>
      <c r="C14" s="48" t="n"/>
      <c r="D14" s="41" t="n"/>
      <c r="E14" s="41" t="n"/>
      <c r="F14" s="40" t="inlineStr">
        <is>
          <t>文字列項目に最大長＋1が入力された場合、エラーとなること。</t>
        </is>
      </c>
      <c r="G14" s="44" t="n"/>
      <c r="H14" s="107" t="n"/>
      <c r="I14" s="107" t="n"/>
      <c r="J14" s="107" t="n"/>
      <c r="K14" s="107" t="n"/>
      <c r="L14" s="44" t="n"/>
      <c r="M14" s="44" t="n"/>
      <c r="N14" s="82" t="n"/>
      <c r="O14" s="46" t="n"/>
      <c r="P14" s="82" t="n"/>
      <c r="Q14" s="46" t="n"/>
      <c r="R14" s="283" t="n"/>
    </row>
    <row r="15" ht="22" customFormat="1" customHeight="1" s="88">
      <c r="A15" s="38">
        <f t="array" ref="A15">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_xlpm.テスト内容数（テスト内容が空の場合は1）, IF(_xlpm.テスト内容数=0,1,_xlpm.テスト内容数),
_xlpm.詳細項目数&amp;"-"&amp;_xlpm.観点数&amp;"-"&amp;_xlpm.テスト内容数（テスト内容が空の場合は1）
)</f>
        <v/>
      </c>
      <c r="B15" s="48" t="n"/>
      <c r="C15" s="48" t="n"/>
      <c r="D15" s="41" t="n"/>
      <c r="E15" s="41" t="n"/>
      <c r="F15" s="99" t="inlineStr">
        <is>
          <t>文字列項目に最小長が入力された場合、エラーとならないこと。</t>
        </is>
      </c>
      <c r="G15" s="44" t="n"/>
      <c r="H15" s="107" t="n"/>
      <c r="I15" s="99" t="n"/>
      <c r="J15" s="107" t="n"/>
      <c r="K15" s="107" t="n"/>
      <c r="L15" s="44" t="n"/>
      <c r="M15" s="44" t="n"/>
      <c r="N15" s="283" t="n"/>
      <c r="O15" s="283" t="n"/>
      <c r="P15" s="82" t="n"/>
      <c r="Q15" s="46" t="n"/>
      <c r="R15" s="283" t="n"/>
    </row>
    <row r="16" ht="22" customFormat="1" customHeight="1" s="88">
      <c r="A16" s="38">
        <f t="array" ref="A16">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_xlpm.テスト内容数（テスト内容が空の場合は1）, IF(_xlpm.テスト内容数=0,1,_xlpm.テスト内容数),
_xlpm.詳細項目数&amp;"-"&amp;_xlpm.観点数&amp;"-"&amp;_xlpm.テスト内容数（テスト内容が空の場合は1）
)</f>
        <v/>
      </c>
      <c r="B16" s="48" t="n"/>
      <c r="C16" s="48" t="n"/>
      <c r="D16" s="41" t="n"/>
      <c r="E16" s="41" t="n"/>
      <c r="F16" s="99" t="inlineStr">
        <is>
          <t>文字列項目に最小長－1が入力された場合、エラーとなること。</t>
        </is>
      </c>
      <c r="G16" s="44" t="n"/>
      <c r="H16" s="107" t="n"/>
      <c r="I16" s="99" t="n"/>
      <c r="J16" s="107" t="n"/>
      <c r="K16" s="107" t="n"/>
      <c r="L16" s="44" t="n"/>
      <c r="M16" s="44" t="n"/>
      <c r="N16" s="283" t="n"/>
      <c r="O16" s="82" t="n"/>
      <c r="P16" s="46" t="n"/>
      <c r="Q16" s="283" t="n"/>
      <c r="R16" s="82" t="n"/>
    </row>
    <row r="17" ht="33" customFormat="1" customHeight="1" s="88">
      <c r="A17" s="38">
        <f t="array" ref="A17">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_xlpm.テスト内容数（テスト内容が空の場合は1）, IF(_xlpm.テスト内容数=0,1,_xlpm.テスト内容数),
_xlpm.詳細項目数&amp;"-"&amp;_xlpm.観点数&amp;"-"&amp;_xlpm.テスト内容数（テスト内容が空の場合は1）
)</f>
        <v/>
      </c>
      <c r="B17" s="48" t="n"/>
      <c r="C17" s="48" t="n"/>
      <c r="D17" s="49" t="n"/>
      <c r="E17" s="50" t="n"/>
      <c r="F17" s="99" t="inlineStr">
        <is>
          <t>サロゲートペア文字を許容する設計となっている場合、サロゲートペア文字を含んだ値が入力された結果がエラーとならないこと。</t>
        </is>
      </c>
      <c r="G17" s="44" t="n"/>
      <c r="H17" s="107" t="n"/>
      <c r="I17" s="99" t="n"/>
      <c r="J17" s="107" t="n"/>
      <c r="K17" s="105" t="n"/>
      <c r="L17" s="44" t="n"/>
      <c r="M17" s="44" t="n"/>
      <c r="N17" s="283" t="n"/>
      <c r="O17" s="82" t="n"/>
      <c r="P17" s="46" t="n"/>
      <c r="Q17" s="283" t="n"/>
      <c r="R17" s="82" t="n"/>
    </row>
    <row r="18" ht="22" customHeight="1">
      <c r="A18" s="38">
        <f t="array" ref="A18">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_xlpm.テスト内容数（テスト内容が空の場合は1）, IF(_xlpm.テスト内容数=0,1,_xlpm.テスト内容数),
_xlpm.詳細項目数&amp;"-"&amp;_xlpm.観点数&amp;"-"&amp;_xlpm.テスト内容数（テスト内容が空の場合は1）
)</f>
        <v/>
      </c>
      <c r="B18" s="48" t="n"/>
      <c r="C18" s="48" t="n"/>
      <c r="D18" s="52" t="inlineStr">
        <is>
          <t>数値バリデーション</t>
        </is>
      </c>
      <c r="E18" s="41" t="inlineStr">
        <is>
          <t>桁数</t>
        </is>
      </c>
      <c r="F18" s="40" t="inlineStr">
        <is>
          <t>数値項目の整数部に最大桁、小数部に最大桁が入力された場合、エラーとならないこと。</t>
        </is>
      </c>
      <c r="G18" s="44" t="n"/>
      <c r="H18" s="107" t="n"/>
      <c r="I18" s="107" t="n"/>
      <c r="J18" s="107" t="n"/>
      <c r="K18" s="107" t="n"/>
      <c r="L18" s="44" t="n"/>
      <c r="M18" s="44" t="n"/>
      <c r="N18" s="283" t="n"/>
      <c r="O18" s="82" t="n"/>
      <c r="P18" s="46" t="n"/>
      <c r="Q18" s="283" t="n"/>
      <c r="R18" s="82" t="n"/>
    </row>
    <row r="19" ht="22" customHeight="1">
      <c r="A19" s="38">
        <f t="array" ref="A19">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_xlpm.テスト内容数（テスト内容が空の場合は1）, IF(_xlpm.テスト内容数=0,1,_xlpm.テスト内容数),
_xlpm.詳細項目数&amp;"-"&amp;_xlpm.観点数&amp;"-"&amp;_xlpm.テスト内容数（テスト内容が空の場合は1）
)</f>
        <v/>
      </c>
      <c r="B19" s="48" t="n"/>
      <c r="C19" s="48" t="n"/>
      <c r="D19" s="52" t="n"/>
      <c r="E19" s="41" t="n"/>
      <c r="F19" s="40" t="inlineStr">
        <is>
          <t>数値項目の整数部に最大桁＋1、小数部に最大桁が入力された場合、エラーとなること。</t>
        </is>
      </c>
      <c r="G19" s="44" t="n"/>
      <c r="H19" s="107" t="n"/>
      <c r="I19" s="107" t="n"/>
      <c r="J19" s="107" t="n"/>
      <c r="K19" s="107" t="n"/>
      <c r="L19" s="44" t="n"/>
      <c r="M19" s="44" t="n"/>
      <c r="N19" s="283" t="n"/>
      <c r="O19" s="82" t="n"/>
      <c r="P19" s="46" t="n"/>
      <c r="Q19" s="283" t="n"/>
      <c r="R19" s="82" t="n"/>
    </row>
    <row r="20" ht="22" customHeight="1">
      <c r="A20" s="38">
        <f t="array" ref="A20">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_xlpm.テスト内容数（テスト内容が空の場合は1）, IF(_xlpm.テスト内容数=0,1,_xlpm.テスト内容数),
_xlpm.詳細項目数&amp;"-"&amp;_xlpm.観点数&amp;"-"&amp;_xlpm.テスト内容数（テスト内容が空の場合は1）
)</f>
        <v/>
      </c>
      <c r="B20" s="48" t="n"/>
      <c r="C20" s="48" t="n"/>
      <c r="D20" s="52" t="n"/>
      <c r="E20" s="50" t="n"/>
      <c r="F20" s="99" t="inlineStr">
        <is>
          <t>数値項目の整数部に最大桁、小数部に最大桁＋１が入力された場合、エラーとなること。</t>
        </is>
      </c>
      <c r="G20" s="44" t="n"/>
      <c r="H20" s="107" t="n"/>
      <c r="I20" s="99" t="n"/>
      <c r="J20" s="107" t="n"/>
      <c r="K20" s="107" t="n"/>
      <c r="L20" s="44" t="n"/>
      <c r="M20" s="44" t="n"/>
      <c r="N20" s="283" t="n"/>
      <c r="O20" s="82" t="n"/>
      <c r="P20" s="46" t="n"/>
      <c r="Q20" s="283" t="n"/>
      <c r="R20" s="82" t="n"/>
    </row>
    <row r="21" ht="22" customHeight="1">
      <c r="A21" s="38">
        <f t="array" ref="A2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_xlpm.テスト内容数（テスト内容が空の場合は1）, IF(_xlpm.テスト内容数=0,1,_xlpm.テスト内容数),
_xlpm.詳細項目数&amp;"-"&amp;_xlpm.観点数&amp;"-"&amp;_xlpm.テスト内容数（テスト内容が空の場合は1）
)</f>
        <v/>
      </c>
      <c r="B21" s="48" t="n"/>
      <c r="C21" s="48" t="n"/>
      <c r="D21" s="52" t="n"/>
      <c r="E21" s="41" t="inlineStr">
        <is>
          <t>有効範囲</t>
        </is>
      </c>
      <c r="F21" s="40" t="inlineStr">
        <is>
          <t>数値項目に有効範囲の上限値が入力された場合、エラーとならないこと。</t>
        </is>
      </c>
      <c r="G21" s="44" t="n"/>
      <c r="H21" s="107" t="n"/>
      <c r="I21" s="107" t="n"/>
      <c r="J21" s="107" t="n"/>
      <c r="K21" s="107" t="n"/>
      <c r="L21" s="44" t="n"/>
      <c r="M21" s="44" t="n"/>
      <c r="N21" s="82" t="n"/>
      <c r="O21" s="46" t="n"/>
      <c r="P21" s="82" t="n"/>
      <c r="Q21" s="283" t="n"/>
      <c r="R21" s="82" t="n"/>
    </row>
    <row r="22" ht="22" customHeight="1">
      <c r="A22" s="38">
        <f t="array" ref="A22">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_xlpm.テスト内容数（テスト内容が空の場合は1）, IF(_xlpm.テスト内容数=0,1,_xlpm.テスト内容数),
_xlpm.詳細項目数&amp;"-"&amp;_xlpm.観点数&amp;"-"&amp;_xlpm.テスト内容数（テスト内容が空の場合は1）
)</f>
        <v/>
      </c>
      <c r="B22" s="48" t="n"/>
      <c r="C22" s="48" t="n"/>
      <c r="D22" s="52" t="n"/>
      <c r="E22" s="41" t="n"/>
      <c r="F22" s="40" t="inlineStr">
        <is>
          <t>数値項目に有効範囲の上限値＋1が入力された場合、エラーとなること。</t>
        </is>
      </c>
      <c r="G22" s="44" t="n"/>
      <c r="H22" s="107" t="n"/>
      <c r="I22" s="107" t="n"/>
      <c r="J22" s="107" t="n"/>
      <c r="K22" s="107" t="n"/>
      <c r="L22" s="44" t="n"/>
      <c r="M22" s="44" t="n"/>
      <c r="N22" s="82" t="n"/>
      <c r="O22" s="46" t="n"/>
      <c r="P22" s="82" t="n"/>
      <c r="Q22" s="283" t="n"/>
      <c r="R22" s="82" t="n"/>
    </row>
    <row r="23" ht="22" customHeight="1">
      <c r="A23" s="38">
        <f t="array" ref="A23">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_xlpm.テスト内容数（テスト内容が空の場合は1）, IF(_xlpm.テスト内容数=0,1,_xlpm.テスト内容数),
_xlpm.詳細項目数&amp;"-"&amp;_xlpm.観点数&amp;"-"&amp;_xlpm.テスト内容数（テスト内容が空の場合は1）
)</f>
        <v/>
      </c>
      <c r="B23" s="48" t="n"/>
      <c r="C23" s="48" t="n"/>
      <c r="D23" s="52" t="n"/>
      <c r="E23" s="41" t="n"/>
      <c r="F23" s="40" t="inlineStr">
        <is>
          <t>数値項目に有効範囲の下限値が入力された場合、エラーとならないこと。</t>
        </is>
      </c>
      <c r="G23" s="44" t="n"/>
      <c r="H23" s="107" t="n"/>
      <c r="I23" s="107" t="n"/>
      <c r="J23" s="107" t="n"/>
      <c r="K23" s="107" t="n"/>
      <c r="L23" s="44" t="n"/>
      <c r="M23" s="44" t="n"/>
      <c r="N23" s="82" t="n"/>
      <c r="O23" s="46" t="n"/>
      <c r="P23" s="82" t="n"/>
      <c r="Q23" s="283" t="n"/>
      <c r="R23" s="82" t="n"/>
    </row>
    <row r="24" ht="22" customHeight="1">
      <c r="A24" s="38">
        <f t="array" ref="A24">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_xlpm.テスト内容数（テスト内容が空の場合は1）, IF(_xlpm.テスト内容数=0,1,_xlpm.テスト内容数),
_xlpm.詳細項目数&amp;"-"&amp;_xlpm.観点数&amp;"-"&amp;_xlpm.テスト内容数（テスト内容が空の場合は1）
)</f>
        <v/>
      </c>
      <c r="B24" s="48" t="n"/>
      <c r="C24" s="48" t="n"/>
      <c r="D24" s="49" t="n"/>
      <c r="E24" s="50" t="n"/>
      <c r="F24" s="40" t="inlineStr">
        <is>
          <t>数値項目に有効範囲の下限値－1が入力された場合、エラーとなること。</t>
        </is>
      </c>
      <c r="G24" s="44" t="n"/>
      <c r="H24" s="107" t="n"/>
      <c r="I24" s="107" t="n"/>
      <c r="J24" s="107" t="n"/>
      <c r="K24" s="107" t="n"/>
      <c r="L24" s="44" t="n"/>
      <c r="M24" s="44" t="n"/>
      <c r="N24" s="82" t="n"/>
      <c r="O24" s="46" t="n"/>
      <c r="P24" s="82" t="n"/>
      <c r="Q24" s="283" t="n"/>
      <c r="R24" s="82" t="n"/>
    </row>
    <row r="25" ht="22" customFormat="1" customHeight="1" s="88">
      <c r="A25" s="38">
        <f t="array" ref="A25">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_xlpm.テスト内容数（テスト内容が空の場合は1）, IF(_xlpm.テスト内容数=0,1,_xlpm.テスト内容数),
_xlpm.詳細項目数&amp;"-"&amp;_xlpm.観点数&amp;"-"&amp;_xlpm.テスト内容数（テスト内容が空の場合は1）
)</f>
        <v/>
      </c>
      <c r="B25" s="48" t="n"/>
      <c r="C25" s="48" t="n"/>
      <c r="D25" s="52" t="inlineStr">
        <is>
          <t>文字種バリデーション</t>
        </is>
      </c>
      <c r="E25" s="52" t="inlineStr">
        <is>
          <t>-</t>
        </is>
      </c>
      <c r="F25" s="40" t="inlineStr">
        <is>
          <t>許容対象の文字が入力された場合、エラーとならないこと。</t>
        </is>
      </c>
      <c r="G25" s="44" t="n"/>
      <c r="H25" s="107" t="n"/>
      <c r="I25" s="107" t="n"/>
      <c r="J25" s="107" t="n"/>
      <c r="K25" s="107" t="n"/>
      <c r="L25" s="44" t="n"/>
      <c r="M25" s="44" t="n"/>
      <c r="N25" s="82" t="n"/>
      <c r="O25" s="46" t="n"/>
      <c r="P25" s="82" t="n"/>
      <c r="Q25" s="46" t="n"/>
      <c r="R25" s="283" t="n"/>
    </row>
    <row r="26" customFormat="1" s="88">
      <c r="A26" s="38">
        <f t="array" ref="A26">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_xlpm.テスト内容数（テスト内容が空の場合は1）, IF(_xlpm.テスト内容数=0,1,_xlpm.テスト内容数),
_xlpm.詳細項目数&amp;"-"&amp;_xlpm.観点数&amp;"-"&amp;_xlpm.テスト内容数（テスト内容が空の場合は1）
)</f>
        <v/>
      </c>
      <c r="B26" s="48" t="n"/>
      <c r="C26" s="48" t="n"/>
      <c r="D26" s="52" t="n"/>
      <c r="E26" s="41" t="n"/>
      <c r="F26" s="40" t="inlineStr">
        <is>
          <t>許容対象外の文字が入力された場合、エラーとなること。</t>
        </is>
      </c>
      <c r="G26" s="44" t="n"/>
      <c r="H26" s="107" t="n"/>
      <c r="I26" s="107" t="n"/>
      <c r="J26" s="107" t="n"/>
      <c r="K26" s="107" t="n"/>
      <c r="L26" s="44" t="n"/>
      <c r="M26" s="44" t="n"/>
      <c r="N26" s="283" t="n"/>
      <c r="O26" s="283" t="n"/>
      <c r="P26" s="82" t="n"/>
      <c r="Q26" s="46" t="n"/>
      <c r="R26" s="283" t="n"/>
    </row>
    <row r="27" ht="33" customFormat="1" customHeight="1" s="88">
      <c r="A27" s="38">
        <f t="array" ref="A27">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_xlpm.テスト内容数（テスト内容が空の場合は1）, IF(_xlpm.テスト内容数=0,1,_xlpm.テスト内容数),
_xlpm.詳細項目数&amp;"-"&amp;_xlpm.観点数&amp;"-"&amp;_xlpm.テスト内容数（テスト内容が空の場合は1）
)</f>
        <v/>
      </c>
      <c r="B27" s="48" t="n"/>
      <c r="C27" s="48" t="n"/>
      <c r="D27" s="53" t="inlineStr">
        <is>
          <t>その他のバリデーション</t>
        </is>
      </c>
      <c r="E27" s="40" t="inlineStr">
        <is>
          <t>コード値</t>
        </is>
      </c>
      <c r="F27" s="40" t="inlineStr">
        <is>
          <t>コード値を入力値とする項目について、有効範囲内の値が入力された場合、エラーとならないこと。</t>
        </is>
      </c>
      <c r="G27" s="44" t="n"/>
      <c r="H27" s="107" t="n"/>
      <c r="I27" s="107" t="n"/>
      <c r="J27" s="107" t="n"/>
      <c r="K27" s="107" t="n"/>
      <c r="L27" s="44" t="n"/>
      <c r="M27" s="44" t="n"/>
      <c r="N27" s="82" t="n"/>
      <c r="O27" s="46" t="n"/>
      <c r="P27" s="82" t="n"/>
      <c r="Q27" s="46" t="n"/>
      <c r="R27" s="283" t="n"/>
    </row>
    <row r="28" ht="22" customFormat="1" customHeight="1" s="88">
      <c r="A28" s="38">
        <f t="array" ref="A28">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_xlpm.テスト内容数（テスト内容が空の場合は1）, IF(_xlpm.テスト内容数=0,1,_xlpm.テスト内容数),
_xlpm.詳細項目数&amp;"-"&amp;_xlpm.観点数&amp;"-"&amp;_xlpm.テスト内容数（テスト内容が空の場合は1）
)</f>
        <v/>
      </c>
      <c r="B28" s="48" t="n"/>
      <c r="C28" s="48" t="n"/>
      <c r="D28" s="52" t="n"/>
      <c r="E28" s="41" t="n"/>
      <c r="F28" s="40" t="inlineStr">
        <is>
          <t>コード値を入力値とする項目について、有効範囲外の値が入力された場合、エラーとなること。</t>
        </is>
      </c>
      <c r="G28" s="44" t="n"/>
      <c r="H28" s="107" t="n"/>
      <c r="I28" s="107" t="n"/>
      <c r="J28" s="107" t="n"/>
      <c r="K28" s="107" t="n"/>
      <c r="L28" s="44" t="n"/>
      <c r="M28" s="44" t="n"/>
      <c r="N28" s="283" t="n"/>
      <c r="O28" s="283" t="n"/>
      <c r="P28" s="82" t="n"/>
      <c r="Q28" s="46" t="n"/>
      <c r="R28" s="283" t="n"/>
    </row>
    <row r="29" ht="22" customHeight="1">
      <c r="A29" s="38">
        <f t="array" ref="A29">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_xlpm.テスト内容数（テスト内容が空の場合は1）, IF(_xlpm.テスト内容数=0,1,_xlpm.テスト内容数),
_xlpm.詳細項目数&amp;"-"&amp;_xlpm.観点数&amp;"-"&amp;_xlpm.テスト内容数（テスト内容が空の場合は1）
)</f>
        <v/>
      </c>
      <c r="B29" s="48" t="n"/>
      <c r="C29" s="48" t="n"/>
      <c r="D29" s="41" t="n"/>
      <c r="E29" s="40" t="inlineStr">
        <is>
          <t>日付</t>
        </is>
      </c>
      <c r="F29" s="40" t="inlineStr">
        <is>
          <t>日付項目に有効な書式の値が入力された場合、エラーとならないこと。</t>
        </is>
      </c>
      <c r="G29" s="44" t="n"/>
      <c r="H29" s="107" t="n"/>
      <c r="I29" s="107" t="n"/>
      <c r="J29" s="107" t="n"/>
      <c r="K29" s="107" t="n"/>
      <c r="L29" s="44" t="n"/>
      <c r="M29" s="44" t="n"/>
      <c r="N29" s="82" t="n"/>
      <c r="O29" s="46" t="n"/>
      <c r="P29" s="82" t="n"/>
      <c r="Q29" s="82" t="n"/>
      <c r="R29" s="82" t="n"/>
    </row>
    <row r="30" ht="22" customHeight="1">
      <c r="A30" s="38">
        <f t="array" ref="A30">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_xlpm.テスト内容数（テスト内容が空の場合は1）, IF(_xlpm.テスト内容数=0,1,_xlpm.テスト内容数),
_xlpm.詳細項目数&amp;"-"&amp;_xlpm.観点数&amp;"-"&amp;_xlpm.テスト内容数（テスト内容が空の場合は1）
)</f>
        <v/>
      </c>
      <c r="B30" s="48" t="n"/>
      <c r="C30" s="48" t="n"/>
      <c r="D30" s="52" t="n"/>
      <c r="E30" s="41" t="n"/>
      <c r="F30" s="40" t="inlineStr">
        <is>
          <t>日付項目に無効な書式の値が入力された場合、エラーとなること。</t>
        </is>
      </c>
      <c r="G30" s="44" t="n"/>
      <c r="H30" s="107" t="n"/>
      <c r="I30" s="107" t="n"/>
      <c r="J30" s="107" t="n"/>
      <c r="K30" s="107" t="n"/>
      <c r="L30" s="44" t="n"/>
      <c r="M30" s="44" t="n"/>
      <c r="N30" s="82" t="n"/>
      <c r="O30" s="82" t="n"/>
      <c r="P30" s="82" t="n"/>
      <c r="Q30" s="82" t="n"/>
      <c r="R30" s="82" t="n"/>
    </row>
    <row r="31" ht="22" customHeight="1">
      <c r="A31" s="38">
        <f t="array" ref="A3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_xlpm.テスト内容数（テスト内容が空の場合は1）, IF(_xlpm.テスト内容数=0,1,_xlpm.テスト内容数),
_xlpm.詳細項目数&amp;"-"&amp;_xlpm.観点数&amp;"-"&amp;_xlpm.テスト内容数（テスト内容が空の場合は1）
)</f>
        <v/>
      </c>
      <c r="B31" s="48" t="n"/>
      <c r="C31" s="48" t="n"/>
      <c r="D31" s="52" t="n"/>
      <c r="E31" s="41" t="n"/>
      <c r="F31" s="40" t="inlineStr">
        <is>
          <t>日付項目に実在日が入力された場合、エラーとならないこと。</t>
        </is>
      </c>
      <c r="G31" s="44" t="n"/>
      <c r="H31" s="107" t="n"/>
      <c r="I31" s="107" t="n"/>
      <c r="J31" s="107" t="n"/>
      <c r="K31" s="107" t="n"/>
      <c r="L31" s="44" t="n"/>
      <c r="M31" s="44" t="n"/>
      <c r="N31" s="82" t="n"/>
      <c r="O31" s="46" t="n"/>
      <c r="P31" s="82" t="n"/>
      <c r="Q31" s="82" t="n"/>
      <c r="R31" s="82" t="n"/>
    </row>
    <row r="32" ht="22" customHeight="1">
      <c r="A32" s="38">
        <f t="array" ref="A32">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_xlpm.テスト内容数（テスト内容が空の場合は1）, IF(_xlpm.テスト内容数=0,1,_xlpm.テスト内容数),
_xlpm.詳細項目数&amp;"-"&amp;_xlpm.観点数&amp;"-"&amp;_xlpm.テスト内容数（テスト内容が空の場合は1）
)</f>
        <v/>
      </c>
      <c r="B32" s="48" t="n"/>
      <c r="C32" s="48" t="n"/>
      <c r="D32" s="52" t="n"/>
      <c r="E32" s="41" t="n"/>
      <c r="F32" s="40" t="inlineStr">
        <is>
          <t>日付項目に実在日以外が入力された場合、エラーとなること。</t>
        </is>
      </c>
      <c r="G32" s="44" t="n"/>
      <c r="H32" s="107" t="n"/>
      <c r="I32" s="107" t="n"/>
      <c r="J32" s="107" t="n"/>
      <c r="K32" s="107" t="n"/>
      <c r="L32" s="44" t="n"/>
      <c r="M32" s="44" t="n"/>
      <c r="N32" s="82" t="n"/>
      <c r="O32" s="82" t="n"/>
      <c r="P32" s="82" t="n"/>
      <c r="Q32" s="82" t="n"/>
      <c r="R32" s="82" t="n"/>
    </row>
    <row r="33" ht="22" customHeight="1">
      <c r="A33" s="38">
        <f t="array" ref="A33">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_xlpm.テスト内容数（テスト内容が空の場合は1）, IF(_xlpm.テスト内容数=0,1,_xlpm.テスト内容数),
_xlpm.詳細項目数&amp;"-"&amp;_xlpm.観点数&amp;"-"&amp;_xlpm.テスト内容数（テスト内容が空の場合は1）
)</f>
        <v/>
      </c>
      <c r="B33" s="48" t="n"/>
      <c r="C33" s="48" t="n"/>
      <c r="D33" s="52" t="n"/>
      <c r="E33" s="40" t="inlineStr">
        <is>
          <t>メールアドレス</t>
        </is>
      </c>
      <c r="F33" s="99" t="inlineStr">
        <is>
          <t>メールアドレス項目に有効な値が入力された場合、エラーとならないこと。</t>
        </is>
      </c>
      <c r="G33" s="44" t="n"/>
      <c r="H33" s="107" t="n"/>
      <c r="I33" s="99" t="n"/>
      <c r="J33" s="107" t="n"/>
      <c r="K33" s="107" t="n"/>
      <c r="L33" s="44" t="n"/>
      <c r="M33" s="44" t="n"/>
      <c r="N33" s="82" t="n"/>
      <c r="O33" s="82" t="n"/>
      <c r="P33" s="82" t="n"/>
      <c r="Q33" s="82" t="n"/>
      <c r="R33" s="82" t="n"/>
    </row>
    <row r="34" ht="22" customHeight="1">
      <c r="A34" s="38">
        <f t="array" ref="A34">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_xlpm.テスト内容数（テスト内容が空の場合は1）, IF(_xlpm.テスト内容数=0,1,_xlpm.テスト内容数),
_xlpm.詳細項目数&amp;"-"&amp;_xlpm.観点数&amp;"-"&amp;_xlpm.テスト内容数（テスト内容が空の場合は1）
)</f>
        <v/>
      </c>
      <c r="B34" s="48" t="n"/>
      <c r="C34" s="48" t="n"/>
      <c r="D34" s="52" t="n"/>
      <c r="E34" s="50" t="n"/>
      <c r="F34" s="99" t="inlineStr">
        <is>
          <t>メールアドレス項目に無効な値が入力された場合、エラーとなること。</t>
        </is>
      </c>
      <c r="G34" s="44" t="n"/>
      <c r="H34" s="107" t="n"/>
      <c r="I34" s="99" t="n"/>
      <c r="J34" s="107" t="n"/>
      <c r="K34" s="107" t="n"/>
      <c r="L34" s="44" t="n"/>
      <c r="M34" s="44" t="n"/>
      <c r="N34" s="82" t="n"/>
      <c r="O34" s="82" t="n"/>
      <c r="P34" s="82" t="n"/>
      <c r="Q34" s="82" t="n"/>
      <c r="R34" s="82" t="n"/>
    </row>
    <row r="35" ht="44" customHeight="1">
      <c r="A35" s="38">
        <f t="array" ref="A35">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_xlpm.テスト内容数（テスト内容が空の場合は1）, IF(_xlpm.テスト内容数=0,1,_xlpm.テスト内容数),
_xlpm.詳細項目数&amp;"-"&amp;_xlpm.観点数&amp;"-"&amp;_xlpm.テスト内容数（テスト内容が空の場合は1）
)</f>
        <v/>
      </c>
      <c r="B35" s="48" t="n"/>
      <c r="C35" s="54" t="n"/>
      <c r="D35" s="41" t="n"/>
      <c r="E35" s="40" t="inlineStr">
        <is>
          <t>アプリケーション固有のバリデーション</t>
        </is>
      </c>
      <c r="F35" s="40" t="inlineStr">
        <is>
          <t>アプリケーション固有のバリデーションがある場合、バリデーションの結果が［システム機能設計書の記載通り］であること。</t>
        </is>
      </c>
      <c r="G35" s="44" t="n"/>
      <c r="H35" s="99" t="n"/>
      <c r="I35" s="99" t="n"/>
      <c r="J35" s="99" t="n"/>
      <c r="K35" s="107" t="n"/>
      <c r="L35" s="44" t="n"/>
      <c r="M35" s="44" t="n"/>
      <c r="N35" s="82" t="n"/>
      <c r="O35" s="46" t="n"/>
      <c r="P35" s="82" t="n"/>
      <c r="Q35" s="82" t="n"/>
      <c r="R35" s="82" t="n"/>
    </row>
    <row r="36" ht="33" customHeight="1">
      <c r="A36" s="38">
        <f t="array" ref="A36">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_xlpm.テスト内容数（テスト内容が空の場合は1）, IF(_xlpm.テスト内容数=0,1,_xlpm.テスト内容数),
_xlpm.詳細項目数&amp;"-"&amp;_xlpm.観点数&amp;"-"&amp;_xlpm.テスト内容数（テスト内容が空の場合は1）
)</f>
        <v/>
      </c>
      <c r="B36" s="48" t="n"/>
      <c r="C36" s="53" t="inlineStr">
        <is>
          <t>相関バリデーション</t>
        </is>
      </c>
      <c r="D36" s="53" t="inlineStr">
        <is>
          <t>-</t>
        </is>
      </c>
      <c r="E36" s="40" t="inlineStr">
        <is>
          <t>-</t>
        </is>
      </c>
      <c r="F36" s="99" t="inlineStr">
        <is>
          <t>特定の条件により必須・任意が変わる項目について、該当項目が必須となっている状態で、値が未入力の場合、エラーとなること。</t>
        </is>
      </c>
      <c r="G36" s="164" t="n"/>
      <c r="H36" s="99" t="n"/>
      <c r="I36" s="99" t="n"/>
      <c r="J36" s="107" t="n"/>
      <c r="K36" s="55" t="n"/>
      <c r="L36" s="44" t="n"/>
      <c r="M36" s="44" t="n"/>
      <c r="N36" s="82" t="n"/>
      <c r="O36" s="82" t="n"/>
      <c r="P36" s="82" t="n"/>
      <c r="Q36" s="82" t="n"/>
      <c r="R36" s="82" t="n"/>
    </row>
    <row r="37" ht="33" customHeight="1">
      <c r="A37" s="38">
        <f t="array" ref="A37">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_xlpm.テスト内容数（テスト内容が空の場合は1）, IF(_xlpm.テスト内容数=0,1,_xlpm.テスト内容数),
_xlpm.詳細項目数&amp;"-"&amp;_xlpm.観点数&amp;"-"&amp;_xlpm.テスト内容数（テスト内容が空の場合は1）
)</f>
        <v/>
      </c>
      <c r="B37" s="48" t="n"/>
      <c r="C37" s="48" t="n"/>
      <c r="D37" s="52" t="n"/>
      <c r="E37" s="41" t="n"/>
      <c r="F37" s="99" t="inlineStr">
        <is>
          <t>特定の条件により必須・任意が変わる項目について、該当項目が任意となっている状態で、値が未入力の場合、エラーとならないこと。</t>
        </is>
      </c>
      <c r="G37" s="164" t="n"/>
      <c r="H37" s="99" t="n"/>
      <c r="I37" s="99" t="n"/>
      <c r="J37" s="107" t="n"/>
      <c r="K37" s="55" t="n"/>
      <c r="L37" s="44" t="n"/>
      <c r="M37" s="44" t="n"/>
      <c r="N37" s="82" t="n"/>
      <c r="O37" s="82" t="n"/>
      <c r="P37" s="82" t="n"/>
      <c r="Q37" s="82" t="n"/>
      <c r="R37" s="82" t="n"/>
    </row>
    <row r="38" ht="22" customHeight="1">
      <c r="A38" s="38">
        <f t="array" ref="A38">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_xlpm.テスト内容数（テスト内容が空の場合は1）, IF(_xlpm.テスト内容数=0,1,_xlpm.テスト内容数),
_xlpm.詳細項目数&amp;"-"&amp;_xlpm.観点数&amp;"-"&amp;_xlpm.テスト内容数（テスト内容が空の場合は1）
)</f>
        <v/>
      </c>
      <c r="B38" s="48" t="n"/>
      <c r="C38" s="48" t="n"/>
      <c r="D38" s="52" t="n"/>
      <c r="E38" s="41" t="n"/>
      <c r="F38" s="40" t="inlineStr">
        <is>
          <t>相関バリデーション対象項目について、有効な値の組み合わせが各項目に入力された場合、エラーとならないこと。</t>
        </is>
      </c>
      <c r="G38" s="164" t="n"/>
      <c r="H38" s="99" t="n"/>
      <c r="I38" s="107" t="n"/>
      <c r="J38" s="107" t="n"/>
      <c r="K38" s="107" t="n"/>
      <c r="L38" s="44" t="n"/>
      <c r="M38" s="44" t="n"/>
      <c r="N38" s="82" t="n"/>
      <c r="O38" s="46" t="n"/>
      <c r="P38" s="82" t="n"/>
      <c r="Q38" s="82" t="n"/>
      <c r="R38" s="82" t="n"/>
    </row>
    <row r="39" ht="22" customFormat="1" customHeight="1" s="88">
      <c r="A39" s="38">
        <f t="array" ref="A39">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_xlpm.テスト内容数（テスト内容が空の場合は1）, IF(_xlpm.テスト内容数=0,1,_xlpm.テスト内容数),
_xlpm.詳細項目数&amp;"-"&amp;_xlpm.観点数&amp;"-"&amp;_xlpm.テスト内容数（テスト内容が空の場合は1）
)</f>
        <v/>
      </c>
      <c r="B39" s="48" t="n"/>
      <c r="C39" s="48" t="n"/>
      <c r="D39" s="49" t="n"/>
      <c r="E39" s="50" t="n"/>
      <c r="F39" s="56" t="inlineStr">
        <is>
          <t>相関バリデーション対象項目について、無効な値の組み合わせが各項目に入力された場合、エラーとなること。</t>
        </is>
      </c>
      <c r="G39" s="164" t="n"/>
      <c r="H39" s="99" t="n"/>
      <c r="I39" s="107" t="n"/>
      <c r="J39" s="107" t="n"/>
      <c r="K39" s="107" t="n"/>
      <c r="L39" s="44" t="n"/>
      <c r="M39" s="44" t="n"/>
      <c r="N39" s="283" t="n"/>
      <c r="O39" s="46" t="n"/>
      <c r="P39" s="46" t="n"/>
      <c r="Q39" s="283" t="n"/>
      <c r="R39" s="82" t="n"/>
    </row>
    <row r="40" ht="33" customFormat="1" customHeight="1" s="88">
      <c r="A40" s="38">
        <f t="array" ref="A40">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_xlpm.テスト内容数（テスト内容が空の場合は1）, IF(_xlpm.テスト内容数=0,1,_xlpm.テスト内容数),
_xlpm.詳細項目数&amp;"-"&amp;_xlpm.観点数&amp;"-"&amp;_xlpm.テスト内容数（テスト内容が空の場合は1）
)</f>
        <v/>
      </c>
      <c r="B40" s="48" t="n"/>
      <c r="C40" s="48" t="n"/>
      <c r="D40" s="52" t="inlineStr">
        <is>
          <t>DBとの相関バリデーション</t>
        </is>
      </c>
      <c r="E40" s="41" t="inlineStr">
        <is>
          <t>-</t>
        </is>
      </c>
      <c r="F40" s="99" t="inlineStr">
        <is>
          <t>有効なレコードが存在する場合、エラーとならないこと。</t>
        </is>
      </c>
      <c r="G40" s="164" t="n"/>
      <c r="H40" s="99" t="n"/>
      <c r="I40" s="99" t="n"/>
      <c r="J40" s="107" t="n"/>
      <c r="K40" s="105" t="n"/>
      <c r="L40" s="44" t="n"/>
      <c r="M40" s="44" t="n"/>
      <c r="N40" s="283" t="n"/>
      <c r="O40" s="82" t="n"/>
      <c r="P40" s="46" t="n"/>
      <c r="Q40" s="283" t="n"/>
      <c r="R40" s="82" t="n"/>
    </row>
    <row r="41" customFormat="1" s="88">
      <c r="A41" s="38">
        <f t="array" ref="A4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_xlpm.テスト内容数（テスト内容が空の場合は1）, IF(_xlpm.テスト内容数=0,1,_xlpm.テスト内容数),
_xlpm.詳細項目数&amp;"-"&amp;_xlpm.観点数&amp;"-"&amp;_xlpm.テスト内容数（テスト内容が空の場合は1）
)</f>
        <v/>
      </c>
      <c r="B41" s="57" t="n"/>
      <c r="C41" s="57" t="n"/>
      <c r="D41" s="49" t="n"/>
      <c r="E41" s="50" t="n"/>
      <c r="F41" s="99" t="inlineStr">
        <is>
          <t>有効なレコードが存在しない場合、エラーとなること。</t>
        </is>
      </c>
      <c r="G41" s="164" t="n"/>
      <c r="H41" s="99" t="n"/>
      <c r="I41" s="99" t="n"/>
      <c r="J41" s="107" t="n"/>
      <c r="K41" s="105" t="n"/>
      <c r="L41" s="44" t="n"/>
      <c r="M41" s="44" t="n"/>
      <c r="N41" s="283" t="n"/>
      <c r="O41" s="82" t="n"/>
      <c r="P41" s="46" t="n"/>
      <c r="Q41" s="283" t="n"/>
      <c r="R41" s="82" t="n"/>
    </row>
    <row r="42" ht="33" customHeight="1">
      <c r="A42" s="38">
        <f t="array" ref="A42">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_xlpm.テスト内容数（テスト内容が空の場合は1）, IF(_xlpm.テスト内容数=0,1,_xlpm.テスト内容数),
_xlpm.詳細項目数&amp;"-"&amp;_xlpm.観点数&amp;"-"&amp;_xlpm.テスト内容数（テスト内容が空の場合は1）
)</f>
        <v/>
      </c>
      <c r="B42" s="161" t="n"/>
      <c r="C42" s="162" t="inlineStr">
        <is>
          <t>バリデーションの実施</t>
        </is>
      </c>
      <c r="D42" s="162" t="inlineStr">
        <is>
          <t>-</t>
        </is>
      </c>
      <c r="E42" s="162" t="inlineStr">
        <is>
          <t>Formで完結するバリデーション</t>
        </is>
      </c>
      <c r="F42" s="163" t="inlineStr">
        <is>
          <t>入力値に対してFormで完結するバリデーションが実行され、エラーがある場合はエラーとなること。</t>
        </is>
      </c>
      <c r="G42" s="164" t="n"/>
      <c r="H42" s="82" t="n"/>
      <c r="I42" s="82" t="n"/>
      <c r="J42" s="44" t="n"/>
      <c r="K42" s="44" t="n"/>
      <c r="L42" s="82" t="n"/>
      <c r="M42" s="82" t="n"/>
      <c r="N42" s="82" t="n"/>
      <c r="O42" s="82" t="n"/>
      <c r="P42" s="82" t="n"/>
      <c r="Q42" s="101" t="n"/>
      <c r="R42" s="44" t="n"/>
    </row>
    <row r="43" ht="22" customHeight="1">
      <c r="A43" s="38">
        <f t="array" ref="A43">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_xlpm.テスト内容数（テスト内容が空の場合は1）, IF(_xlpm.テスト内容数=0,1,_xlpm.テスト内容数),
_xlpm.詳細項目数&amp;"-"&amp;_xlpm.観点数&amp;"-"&amp;_xlpm.テスト内容数（テスト内容が空の場合は1）
)</f>
        <v/>
      </c>
      <c r="B43" s="161" t="n"/>
      <c r="C43" s="161" t="n"/>
      <c r="D43" s="165" t="n"/>
      <c r="E43" s="165" t="n"/>
      <c r="F43" s="163" t="inlineStr">
        <is>
          <t>入力値に対してFormで完結するバリデーションが実行され、エラーがない場合は正常終了となること。</t>
        </is>
      </c>
      <c r="G43" s="164" t="n"/>
      <c r="H43" s="82" t="n"/>
      <c r="I43" s="82" t="n"/>
      <c r="J43" s="44" t="n"/>
      <c r="K43" s="44" t="n"/>
      <c r="L43" s="82" t="n"/>
      <c r="M43" s="82" t="n"/>
      <c r="N43" s="82" t="n"/>
      <c r="O43" s="82" t="n"/>
      <c r="P43" s="82" t="n"/>
      <c r="Q43" s="101" t="n"/>
      <c r="R43" s="44" t="n"/>
    </row>
    <row r="44" ht="33" customHeight="1">
      <c r="A44" s="38">
        <f t="array" ref="A44">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_xlpm.テスト内容数（テスト内容が空の場合は1）, IF(_xlpm.テスト内容数=0,1,_xlpm.テスト内容数),
_xlpm.詳細項目数&amp;"-"&amp;_xlpm.観点数&amp;"-"&amp;_xlpm.テスト内容数（テスト内容が空の場合は1）
)</f>
        <v/>
      </c>
      <c r="B44" s="161" t="n"/>
      <c r="C44" s="161" t="n"/>
      <c r="D44" s="162" t="inlineStr">
        <is>
          <t>-</t>
        </is>
      </c>
      <c r="E44" s="162" t="inlineStr">
        <is>
          <t>Formで完結しないバリデーション</t>
        </is>
      </c>
      <c r="F44" s="163" t="inlineStr">
        <is>
          <t>入力値に対してFormで完結しないバリデーションが実行され、エラーがある場合はエラーとなること。</t>
        </is>
      </c>
      <c r="G44" s="164" t="n"/>
      <c r="H44" s="82" t="n"/>
      <c r="I44" s="82" t="n"/>
      <c r="J44" s="44" t="n"/>
      <c r="K44" s="44" t="n"/>
      <c r="L44" s="82" t="n"/>
      <c r="M44" s="82" t="n"/>
      <c r="N44" s="82" t="n"/>
      <c r="O44" s="82" t="n"/>
      <c r="P44" s="82" t="n"/>
      <c r="Q44" s="101" t="n"/>
      <c r="R44" s="44" t="n"/>
    </row>
    <row r="45" ht="22" customHeight="1">
      <c r="A45" s="38">
        <f t="array" ref="A45">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_xlpm.テスト内容数（テスト内容が空の場合は1）, IF(_xlpm.テスト内容数=0,1,_xlpm.テスト内容数),
_xlpm.詳細項目数&amp;"-"&amp;_xlpm.観点数&amp;"-"&amp;_xlpm.テスト内容数（テスト内容が空の場合は1）
)</f>
        <v/>
      </c>
      <c r="B45" s="165" t="n"/>
      <c r="C45" s="165" t="n"/>
      <c r="D45" s="165" t="n"/>
      <c r="E45" s="165" t="n"/>
      <c r="F45" s="163" t="inlineStr">
        <is>
          <t>入力値に対してFormで完結しないバリデーションが実行され、エラーがない場合は正常終了となること。</t>
        </is>
      </c>
      <c r="G45" s="164" t="n"/>
      <c r="H45" s="82" t="n"/>
      <c r="I45" s="82" t="n"/>
      <c r="J45" s="44" t="n"/>
      <c r="K45" s="44" t="n"/>
      <c r="L45" s="82" t="n"/>
      <c r="M45" s="82" t="n"/>
      <c r="N45" s="82" t="n"/>
      <c r="O45" s="82" t="n"/>
      <c r="P45" s="82" t="n"/>
      <c r="Q45" s="101" t="n"/>
      <c r="R45" s="44" t="n"/>
    </row>
    <row r="46" ht="22" customFormat="1" customHeight="1" s="88">
      <c r="A46" s="38">
        <f t="array" ref="A46">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_xlpm.テスト内容数（テスト内容が空の場合は1）, IF(_xlpm.テスト内容数=0,1,_xlpm.テスト内容数),
_xlpm.詳細項目数&amp;"-"&amp;_xlpm.観点数&amp;"-"&amp;_xlpm.テスト内容数（テスト内容が空の場合は1）
)</f>
        <v/>
      </c>
      <c r="B46" s="58" t="inlineStr">
        <is>
          <t>DB操作</t>
        </is>
      </c>
      <c r="C46" s="59" t="inlineStr">
        <is>
          <t>共通</t>
        </is>
      </c>
      <c r="D46" s="59" t="inlineStr">
        <is>
          <t>検索/更新/削除条件</t>
        </is>
      </c>
      <c r="E46" s="59" t="inlineStr">
        <is>
          <t>単一条件</t>
        </is>
      </c>
      <c r="F46" s="99" t="inlineStr">
        <is>
          <t>有効な値が条件に指定された場合、期待したレコードが取得、更新、削除されること。</t>
        </is>
      </c>
      <c r="G46" s="99" t="n"/>
      <c r="H46" s="99" t="n"/>
      <c r="I46" s="99" t="n"/>
      <c r="J46" s="60" t="n"/>
      <c r="K46" s="105" t="n"/>
      <c r="L46" s="44" t="n"/>
      <c r="M46" s="44" t="n"/>
      <c r="N46" s="82" t="n"/>
      <c r="O46" s="46" t="n"/>
      <c r="P46" s="82" t="n"/>
      <c r="Q46" s="283" t="n"/>
      <c r="R46" s="82" t="n"/>
    </row>
    <row r="47" ht="22" customFormat="1" customHeight="1" s="88">
      <c r="A47" s="38">
        <f t="array" ref="A47">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_xlpm.テスト内容数（テスト内容が空の場合は1）, IF(_xlpm.テスト内容数=0,1,_xlpm.テスト内容数),
_xlpm.詳細項目数&amp;"-"&amp;_xlpm.観点数&amp;"-"&amp;_xlpm.テスト内容数（テスト内容が空の場合は1）
)</f>
        <v/>
      </c>
      <c r="B47" s="48" t="n"/>
      <c r="C47" s="54" t="n"/>
      <c r="D47" s="41" t="n"/>
      <c r="E47" s="41" t="n"/>
      <c r="F47" s="40" t="inlineStr">
        <is>
          <t>無効な値が条件に指定された場合、レコードが取得、更新、削除されないこと。</t>
        </is>
      </c>
      <c r="G47" s="99" t="n"/>
      <c r="H47" s="99" t="n"/>
      <c r="I47" s="99" t="n"/>
      <c r="J47" s="60" t="n"/>
      <c r="K47" s="105" t="n"/>
      <c r="L47" s="44" t="n"/>
      <c r="M47" s="44" t="n"/>
      <c r="N47" s="82" t="n"/>
      <c r="O47" s="46" t="n"/>
      <c r="P47" s="82" t="n"/>
      <c r="Q47" s="283" t="n"/>
      <c r="R47" s="82" t="n"/>
    </row>
    <row r="48" ht="33" customFormat="1" customHeight="1" s="88">
      <c r="A48" s="38">
        <f t="array" ref="A48">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_xlpm.テスト内容数（テスト内容が空の場合は1）, IF(_xlpm.テスト内容数=0,1,_xlpm.テスト内容数),
_xlpm.詳細項目数&amp;"-"&amp;_xlpm.観点数&amp;"-"&amp;_xlpm.テスト内容数（テスト内容が空の場合は1）
)</f>
        <v/>
      </c>
      <c r="B48" s="48" t="n"/>
      <c r="C48" s="54" t="n"/>
      <c r="D48" s="41" t="n"/>
      <c r="E48" s="50" t="n"/>
      <c r="F48" s="99" t="inlineStr">
        <is>
          <t>値が条件に指定されなかった場合、［システム機能設計書/共通コンポーネント設計書の記載通りの挙動］となること。</t>
        </is>
      </c>
      <c r="G48" s="99" t="n"/>
      <c r="H48" s="99" t="n"/>
      <c r="I48" s="99" t="n"/>
      <c r="J48" s="60" t="n"/>
      <c r="K48" s="105" t="n"/>
      <c r="L48" s="44" t="n"/>
      <c r="M48" s="44" t="n"/>
      <c r="N48" s="283" t="n"/>
      <c r="O48" s="82" t="n"/>
      <c r="P48" s="46" t="n"/>
      <c r="Q48" s="283" t="n"/>
      <c r="R48" s="82" t="n"/>
    </row>
    <row r="49" ht="22" customFormat="1" customHeight="1" s="88">
      <c r="A49" s="38">
        <f t="array" ref="A49">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_xlpm.テスト内容数（テスト内容が空の場合は1）, IF(_xlpm.テスト内容数=0,1,_xlpm.テスト内容数),
_xlpm.詳細項目数&amp;"-"&amp;_xlpm.観点数&amp;"-"&amp;_xlpm.テスト内容数（テスト内容が空の場合は1）
)</f>
        <v/>
      </c>
      <c r="B49" s="48" t="n"/>
      <c r="C49" s="54" t="n"/>
      <c r="D49" s="41" t="n"/>
      <c r="E49" s="41" t="inlineStr">
        <is>
          <t>複数条件</t>
        </is>
      </c>
      <c r="F49" s="99" t="inlineStr">
        <is>
          <t>有効な値の組み合わせが条件に指定された場合、期待したレコードが取得、更新、削除されること。</t>
        </is>
      </c>
      <c r="G49" s="99" t="n"/>
      <c r="H49" s="99" t="n"/>
      <c r="I49" s="99" t="n"/>
      <c r="J49" s="60" t="n"/>
      <c r="K49" s="105" t="n"/>
      <c r="L49" s="44" t="n"/>
      <c r="M49" s="44" t="n"/>
      <c r="N49" s="283" t="n"/>
      <c r="O49" s="82" t="n"/>
      <c r="P49" s="46" t="n"/>
      <c r="Q49" s="283" t="n"/>
      <c r="R49" s="82" t="n"/>
    </row>
    <row r="50" ht="22" customFormat="1" customHeight="1" s="88">
      <c r="A50" s="38">
        <f t="array" ref="A50">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_xlpm.テスト内容数（テスト内容が空の場合は1）, IF(_xlpm.テスト内容数=0,1,_xlpm.テスト内容数),
_xlpm.詳細項目数&amp;"-"&amp;_xlpm.観点数&amp;"-"&amp;_xlpm.テスト内容数（テスト内容が空の場合は1）
)</f>
        <v/>
      </c>
      <c r="B50" s="48" t="n"/>
      <c r="C50" s="54" t="n"/>
      <c r="D50" s="41" t="n"/>
      <c r="E50" s="41" t="n"/>
      <c r="F50" s="99" t="inlineStr">
        <is>
          <t>無効な値の組み合わせが条件に指定された場合、レコードが取得、更新、削除されないこと。</t>
        </is>
      </c>
      <c r="G50" s="99" t="n"/>
      <c r="H50" s="99" t="n"/>
      <c r="I50" s="99" t="n"/>
      <c r="J50" s="60" t="n"/>
      <c r="K50" s="105" t="n"/>
      <c r="L50" s="44" t="n"/>
      <c r="M50" s="44" t="n"/>
      <c r="N50" s="283" t="n"/>
      <c r="O50" s="82" t="n"/>
      <c r="P50" s="46" t="n"/>
      <c r="Q50" s="283" t="n"/>
      <c r="R50" s="82" t="n"/>
    </row>
    <row r="51" ht="33" customFormat="1" customHeight="1" s="88">
      <c r="A51" s="38">
        <f t="array" ref="A5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_xlpm.テスト内容数（テスト内容が空の場合は1）, IF(_xlpm.テスト内容数=0,1,_xlpm.テスト内容数),
_xlpm.詳細項目数&amp;"-"&amp;_xlpm.観点数&amp;"-"&amp;_xlpm.テスト内容数（テスト内容が空の場合は1）
)</f>
        <v/>
      </c>
      <c r="B51" s="48" t="n"/>
      <c r="C51" s="54" t="n"/>
      <c r="D51" s="41" t="n"/>
      <c r="E51" s="50" t="n"/>
      <c r="F51" s="99" t="inlineStr">
        <is>
          <t>値が条件に指定されなかった場合、［システム機能設計書/共通コンポーネント設計書の記載通りの挙動］となること。</t>
        </is>
      </c>
      <c r="G51" s="99" t="n"/>
      <c r="H51" s="99" t="n"/>
      <c r="I51" s="99" t="n"/>
      <c r="J51" s="60" t="n"/>
      <c r="K51" s="105" t="n"/>
      <c r="L51" s="44" t="n"/>
      <c r="M51" s="44" t="n"/>
      <c r="N51" s="283" t="n"/>
      <c r="O51" s="82" t="n"/>
      <c r="P51" s="46" t="n"/>
      <c r="Q51" s="283" t="n"/>
      <c r="R51" s="82" t="n"/>
    </row>
    <row r="52" ht="22" customFormat="1" customHeight="1" s="88">
      <c r="A52" s="38">
        <f t="array" ref="A52">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_xlpm.テスト内容数（テスト内容が空の場合は1）, IF(_xlpm.テスト内容数=0,1,_xlpm.テスト内容数),
_xlpm.詳細項目数&amp;"-"&amp;_xlpm.観点数&amp;"-"&amp;_xlpm.テスト内容数（テスト内容が空の場合は1）
)</f>
        <v/>
      </c>
      <c r="B52" s="48" t="n"/>
      <c r="C52" s="54" t="n"/>
      <c r="D52" s="41" t="n"/>
      <c r="E52" s="41" t="inlineStr">
        <is>
          <t>完全一致</t>
        </is>
      </c>
      <c r="F52" s="40" t="inlineStr">
        <is>
          <t>完全一致する値が指定された場合、期待したレコードが取得、更新、削除されること。</t>
        </is>
      </c>
      <c r="G52" s="99" t="n"/>
      <c r="H52" s="99" t="n"/>
      <c r="I52" s="99" t="n"/>
      <c r="J52" s="60" t="n"/>
      <c r="K52" s="105" t="n"/>
      <c r="L52" s="44" t="n"/>
      <c r="M52" s="44" t="n"/>
      <c r="N52" s="82" t="n"/>
      <c r="O52" s="46" t="n"/>
      <c r="P52" s="82" t="n"/>
      <c r="Q52" s="283" t="n"/>
      <c r="R52" s="82" t="n"/>
    </row>
    <row r="53" ht="22" customFormat="1" customHeight="1" s="88">
      <c r="A53" s="38">
        <f t="array" ref="A53">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_xlpm.テスト内容数（テスト内容が空の場合は1）, IF(_xlpm.テスト内容数=0,1,_xlpm.テスト内容数),
_xlpm.詳細項目数&amp;"-"&amp;_xlpm.観点数&amp;"-"&amp;_xlpm.テスト内容数（テスト内容が空の場合は1）
)</f>
        <v/>
      </c>
      <c r="B53" s="48" t="n"/>
      <c r="C53" s="54" t="n"/>
      <c r="D53" s="41" t="n"/>
      <c r="E53" s="41" t="n"/>
      <c r="F53" s="40" t="inlineStr">
        <is>
          <t>完全一致しない値が指定された場合、レコードが取得、更新、削除されないこと。</t>
        </is>
      </c>
      <c r="G53" s="99" t="n"/>
      <c r="H53" s="99" t="n"/>
      <c r="I53" s="99" t="n"/>
      <c r="J53" s="60" t="n"/>
      <c r="K53" s="105" t="n"/>
      <c r="L53" s="44" t="n"/>
      <c r="M53" s="44" t="n"/>
      <c r="N53" s="82" t="n"/>
      <c r="O53" s="46" t="n"/>
      <c r="P53" s="82" t="n"/>
      <c r="Q53" s="283" t="n"/>
      <c r="R53" s="82" t="n"/>
    </row>
    <row r="54" ht="22" customFormat="1" customHeight="1" s="88">
      <c r="A54" s="38">
        <f t="array" ref="A54">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_xlpm.テスト内容数（テスト内容が空の場合は1）, IF(_xlpm.テスト内容数=0,1,_xlpm.テスト内容数),
_xlpm.詳細項目数&amp;"-"&amp;_xlpm.観点数&amp;"-"&amp;_xlpm.テスト内容数（テスト内容が空の場合は1）
)</f>
        <v/>
      </c>
      <c r="B54" s="48" t="n"/>
      <c r="C54" s="54" t="n"/>
      <c r="D54" s="41" t="n"/>
      <c r="E54" s="40" t="inlineStr">
        <is>
          <t>部分一致</t>
        </is>
      </c>
      <c r="F54" s="99" t="inlineStr">
        <is>
          <t>前方一致する値が指定された場合、期待したレコードが取得、更新、削除されること。</t>
        </is>
      </c>
      <c r="G54" s="99" t="n"/>
      <c r="H54" s="99" t="n"/>
      <c r="I54" s="99" t="n"/>
      <c r="J54" s="60" t="n"/>
      <c r="K54" s="105" t="n"/>
      <c r="L54" s="44" t="n"/>
      <c r="M54" s="44" t="n"/>
      <c r="N54" s="283" t="n"/>
      <c r="O54" s="82" t="n"/>
      <c r="P54" s="46" t="n"/>
      <c r="Q54" s="283" t="n"/>
      <c r="R54" s="82" t="n"/>
    </row>
    <row r="55" ht="22" customFormat="1" customHeight="1" s="88">
      <c r="A55" s="38">
        <f t="array" ref="A55">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_xlpm.テスト内容数（テスト内容が空の場合は1）, IF(_xlpm.テスト内容数=0,1,_xlpm.テスト内容数),
_xlpm.詳細項目数&amp;"-"&amp;_xlpm.観点数&amp;"-"&amp;_xlpm.テスト内容数（テスト内容が空の場合は1）
)</f>
        <v/>
      </c>
      <c r="B55" s="48" t="n"/>
      <c r="C55" s="54" t="n"/>
      <c r="D55" s="41" t="n"/>
      <c r="E55" s="41" t="n"/>
      <c r="F55" s="99" t="inlineStr">
        <is>
          <t>前方一致しない値が指定された場合、レコードが取得、更新、削除されないこと。</t>
        </is>
      </c>
      <c r="G55" s="99" t="n"/>
      <c r="H55" s="99" t="n"/>
      <c r="I55" s="99" t="n"/>
      <c r="J55" s="60" t="n"/>
      <c r="K55" s="105" t="n"/>
      <c r="L55" s="44" t="n"/>
      <c r="M55" s="44" t="n"/>
      <c r="N55" s="283" t="n"/>
      <c r="O55" s="82" t="n"/>
      <c r="P55" s="46" t="n"/>
      <c r="Q55" s="283" t="n"/>
      <c r="R55" s="82" t="n"/>
    </row>
    <row r="56" ht="22" customFormat="1" customHeight="1" s="88">
      <c r="A56" s="38">
        <f t="array" ref="A56">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_xlpm.テスト内容数（テスト内容が空の場合は1）, IF(_xlpm.テスト内容数=0,1,_xlpm.テスト内容数),
_xlpm.詳細項目数&amp;"-"&amp;_xlpm.観点数&amp;"-"&amp;_xlpm.テスト内容数（テスト内容が空の場合は1）
)</f>
        <v/>
      </c>
      <c r="B56" s="48" t="n"/>
      <c r="C56" s="54" t="n"/>
      <c r="D56" s="41" t="n"/>
      <c r="E56" s="41" t="n"/>
      <c r="F56" s="99" t="inlineStr">
        <is>
          <t>後方一致する値が指定された場合、期待したレコードが取得、更新、削除されること。</t>
        </is>
      </c>
      <c r="G56" s="99" t="n"/>
      <c r="H56" s="99" t="n"/>
      <c r="I56" s="99" t="n"/>
      <c r="J56" s="60" t="n"/>
      <c r="K56" s="105" t="n"/>
      <c r="L56" s="44" t="n"/>
      <c r="M56" s="44" t="n"/>
      <c r="N56" s="283" t="n"/>
      <c r="O56" s="82" t="n"/>
      <c r="P56" s="46" t="n"/>
      <c r="Q56" s="283" t="n"/>
      <c r="R56" s="82" t="n"/>
    </row>
    <row r="57" ht="22" customFormat="1" customHeight="1" s="88">
      <c r="A57" s="38">
        <f t="array" ref="A57">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_xlpm.テスト内容数（テスト内容が空の場合は1）, IF(_xlpm.テスト内容数=0,1,_xlpm.テスト内容数),
_xlpm.詳細項目数&amp;"-"&amp;_xlpm.観点数&amp;"-"&amp;_xlpm.テスト内容数（テスト内容が空の場合は1）
)</f>
        <v/>
      </c>
      <c r="B57" s="48" t="n"/>
      <c r="C57" s="54" t="n"/>
      <c r="D57" s="41" t="n"/>
      <c r="E57" s="41" t="n"/>
      <c r="F57" s="99" t="inlineStr">
        <is>
          <t>後方一致しない値が指定された場合、レコードが取得、更新、削除されないこと。</t>
        </is>
      </c>
      <c r="G57" s="99" t="n"/>
      <c r="H57" s="99" t="n"/>
      <c r="I57" s="99" t="n"/>
      <c r="J57" s="60" t="n"/>
      <c r="K57" s="105" t="n"/>
      <c r="L57" s="44" t="n"/>
      <c r="M57" s="44" t="n"/>
      <c r="N57" s="283" t="n"/>
      <c r="O57" s="82" t="n"/>
      <c r="P57" s="46" t="n"/>
      <c r="Q57" s="283" t="n"/>
      <c r="R57" s="82" t="n"/>
    </row>
    <row r="58" ht="22" customFormat="1" customHeight="1" s="88">
      <c r="A58" s="38">
        <f t="array" ref="A58">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_xlpm.テスト内容数（テスト内容が空の場合は1）, IF(_xlpm.テスト内容数=0,1,_xlpm.テスト内容数),
_xlpm.詳細項目数&amp;"-"&amp;_xlpm.観点数&amp;"-"&amp;_xlpm.テスト内容数（テスト内容が空の場合は1）
)</f>
        <v/>
      </c>
      <c r="B58" s="48" t="n"/>
      <c r="C58" s="54" t="n"/>
      <c r="D58" s="41" t="n"/>
      <c r="E58" s="41" t="n"/>
      <c r="F58" s="99" t="inlineStr">
        <is>
          <t>中間一致する値が指定された場合、期待したレコードが取得、更新、削除されること。</t>
        </is>
      </c>
      <c r="G58" s="99" t="n"/>
      <c r="H58" s="99" t="n"/>
      <c r="I58" s="99" t="n"/>
      <c r="J58" s="60" t="n"/>
      <c r="K58" s="105" t="n"/>
      <c r="L58" s="44" t="n"/>
      <c r="M58" s="44" t="n"/>
      <c r="N58" s="283" t="n"/>
      <c r="O58" s="82" t="n"/>
      <c r="P58" s="46" t="n"/>
      <c r="Q58" s="283" t="n"/>
      <c r="R58" s="82" t="n"/>
    </row>
    <row r="59" ht="22" customFormat="1" customHeight="1" s="88">
      <c r="A59" s="38">
        <f t="array" ref="A59">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_xlpm.テスト内容数（テスト内容が空の場合は1）, IF(_xlpm.テスト内容数=0,1,_xlpm.テスト内容数),
_xlpm.詳細項目数&amp;"-"&amp;_xlpm.観点数&amp;"-"&amp;_xlpm.テスト内容数（テスト内容が空の場合は1）
)</f>
        <v/>
      </c>
      <c r="B59" s="48" t="n"/>
      <c r="C59" s="54" t="n"/>
      <c r="D59" s="41" t="n"/>
      <c r="E59" s="50" t="n"/>
      <c r="F59" s="99" t="inlineStr">
        <is>
          <t>中間一致しない値が指定された場合、レコードが取得、更新、削除されないこと。</t>
        </is>
      </c>
      <c r="G59" s="99" t="n"/>
      <c r="H59" s="99" t="n"/>
      <c r="I59" s="99" t="n"/>
      <c r="J59" s="60" t="n"/>
      <c r="K59" s="105" t="n"/>
      <c r="L59" s="44" t="n"/>
      <c r="M59" s="44" t="n"/>
      <c r="N59" s="283" t="n"/>
      <c r="O59" s="82" t="n"/>
      <c r="P59" s="46" t="n"/>
      <c r="Q59" s="283" t="n"/>
      <c r="R59" s="82" t="n"/>
    </row>
    <row r="60" ht="33" customFormat="1" customHeight="1" s="88">
      <c r="A60" s="38">
        <f t="array" ref="A60">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_xlpm.テスト内容数（テスト内容が空の場合は1）, IF(_xlpm.テスト内容数=0,1,_xlpm.テスト内容数),
_xlpm.詳細項目数&amp;"-"&amp;_xlpm.観点数&amp;"-"&amp;_xlpm.テスト内容数（テスト内容が空の場合は1）
)</f>
        <v/>
      </c>
      <c r="B60" s="48" t="n"/>
      <c r="C60" s="54" t="n"/>
      <c r="D60" s="41" t="n"/>
      <c r="E60" s="50" t="inlineStr">
        <is>
          <t>抽出範囲</t>
        </is>
      </c>
      <c r="F60" s="99" t="inlineStr">
        <is>
          <t>月、年度の切り替えにより抽出対象が変わる場合、取得、更新、削除されたレコードが［システム機能設計書/共通コンポーネント設計書の記載通り］であること。</t>
        </is>
      </c>
      <c r="G60" s="99" t="n"/>
      <c r="H60" s="99" t="n"/>
      <c r="I60" s="99" t="n"/>
      <c r="J60" s="60" t="n"/>
      <c r="K60" s="105" t="n"/>
      <c r="L60" s="44" t="n"/>
      <c r="M60" s="44" t="n"/>
      <c r="N60" s="283" t="n"/>
      <c r="O60" s="82" t="n"/>
      <c r="P60" s="46" t="n"/>
      <c r="Q60" s="283" t="n"/>
      <c r="R60" s="82" t="n"/>
    </row>
    <row r="61" ht="22" customFormat="1" customHeight="1" s="88">
      <c r="A61" s="38">
        <f t="array" ref="A6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_xlpm.テスト内容数（テスト内容が空の場合は1）, IF(_xlpm.テスト内容数=0,1,_xlpm.テスト内容数),
_xlpm.詳細項目数&amp;"-"&amp;_xlpm.観点数&amp;"-"&amp;_xlpm.テスト内容数（テスト内容が空の場合は1）
)</f>
        <v/>
      </c>
      <c r="B61" s="48" t="n"/>
      <c r="C61" s="54" t="n"/>
      <c r="D61" s="41" t="n"/>
      <c r="E61" s="50" t="inlineStr">
        <is>
          <t>エスケープ</t>
        </is>
      </c>
      <c r="F61" s="99" t="inlineStr">
        <is>
          <t>条件にワイルドカード文字が指定された場合、該当の文字が含まれるレコードが取得、更新、削除されること。</t>
        </is>
      </c>
      <c r="G61" s="99" t="n"/>
      <c r="H61" s="99" t="n"/>
      <c r="I61" s="99" t="n"/>
      <c r="J61" s="60" t="n"/>
      <c r="K61" s="105" t="n"/>
      <c r="L61" s="44" t="n"/>
      <c r="M61" s="44" t="n"/>
      <c r="N61" s="283" t="n"/>
      <c r="O61" s="82" t="n"/>
      <c r="P61" s="46" t="n"/>
      <c r="Q61" s="283" t="n"/>
      <c r="R61" s="82" t="n"/>
    </row>
    <row r="62" ht="22" customFormat="1" customHeight="1" s="88">
      <c r="A62" s="38">
        <f t="array" ref="A62">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_xlpm.テスト内容数（テスト内容が空の場合は1）, IF(_xlpm.テスト内容数=0,1,_xlpm.テスト内容数),
_xlpm.詳細項目数&amp;"-"&amp;_xlpm.観点数&amp;"-"&amp;_xlpm.テスト内容数（テスト内容が空の場合は1）
)</f>
        <v/>
      </c>
      <c r="B62" s="48" t="n"/>
      <c r="C62" s="54" t="n"/>
      <c r="D62" s="50" t="n"/>
      <c r="E62" s="50" t="inlineStr">
        <is>
          <t>件数上限</t>
        </is>
      </c>
      <c r="F62" s="99" t="inlineStr">
        <is>
          <t>処理件数に上限がある場合、上限の件数以上のレコードが取得、更新、削除されないこと。</t>
        </is>
      </c>
      <c r="G62" s="99" t="n"/>
      <c r="H62" s="99" t="n"/>
      <c r="I62" s="99" t="n"/>
      <c r="J62" s="60" t="n"/>
      <c r="K62" s="105" t="n"/>
      <c r="L62" s="44" t="n"/>
      <c r="M62" s="44" t="n"/>
      <c r="N62" s="283" t="n"/>
      <c r="O62" s="82" t="n"/>
      <c r="P62" s="46" t="n"/>
      <c r="Q62" s="283" t="n"/>
      <c r="R62" s="82" t="n"/>
    </row>
    <row r="63" ht="22" customFormat="1" customHeight="1" s="88">
      <c r="A63" s="38">
        <f t="array" ref="A63">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_xlpm.テスト内容数（テスト内容が空の場合は1）, IF(_xlpm.テスト内容数=0,1,_xlpm.テスト内容数),
_xlpm.詳細項目数&amp;"-"&amp;_xlpm.観点数&amp;"-"&amp;_xlpm.テスト内容数（テスト内容が空の場合は1）
)</f>
        <v/>
      </c>
      <c r="B63" s="48" t="n"/>
      <c r="C63" s="54" t="n"/>
      <c r="D63" s="41" t="inlineStr">
        <is>
          <t>登録/更新内容</t>
        </is>
      </c>
      <c r="E63" s="41" t="inlineStr">
        <is>
          <t>-</t>
        </is>
      </c>
      <c r="F63" s="99" t="inlineStr">
        <is>
          <t>全項目に値が指定された場合、レコードが登録されること。</t>
        </is>
      </c>
      <c r="G63" s="99" t="n"/>
      <c r="H63" s="99" t="n"/>
      <c r="I63" s="99" t="n"/>
      <c r="J63" s="60" t="n"/>
      <c r="K63" s="105" t="n"/>
      <c r="L63" s="44" t="n"/>
      <c r="M63" s="44" t="n"/>
      <c r="N63" s="283" t="n"/>
      <c r="O63" s="82" t="n"/>
      <c r="P63" s="46" t="n"/>
      <c r="Q63" s="283" t="n"/>
      <c r="R63" s="82" t="n"/>
    </row>
    <row r="64" ht="22" customFormat="1" customHeight="1" s="88">
      <c r="A64" s="38">
        <f t="array" ref="A64">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_xlpm.テスト内容数（テスト内容が空の場合は1）, IF(_xlpm.テスト内容数=0,1,_xlpm.テスト内容数),
_xlpm.詳細項目数&amp;"-"&amp;_xlpm.観点数&amp;"-"&amp;_xlpm.テスト内容数（テスト内容が空の場合は1）
)</f>
        <v/>
      </c>
      <c r="B64" s="48" t="n"/>
      <c r="C64" s="48" t="n"/>
      <c r="D64" s="41" t="n"/>
      <c r="E64" s="41" t="n"/>
      <c r="F64" s="40" t="inlineStr">
        <is>
          <t>更新対象の項目すべてに値が指定された場合、レコードが更新されること。</t>
        </is>
      </c>
      <c r="G64" s="99" t="n"/>
      <c r="H64" s="99" t="n"/>
      <c r="I64" s="99" t="n"/>
      <c r="J64" s="60" t="n"/>
      <c r="K64" s="105" t="n"/>
      <c r="L64" s="44" t="n"/>
      <c r="M64" s="44" t="n"/>
      <c r="N64" s="283" t="n"/>
      <c r="O64" s="82" t="n"/>
      <c r="P64" s="46" t="n"/>
      <c r="Q64" s="283" t="n"/>
      <c r="R64" s="82" t="n"/>
    </row>
    <row r="65" ht="22" customFormat="1" customHeight="1" s="88">
      <c r="A65" s="38">
        <f t="array" ref="A65">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_xlpm.テスト内容数（テスト内容が空の場合は1）, IF(_xlpm.テスト内容数=0,1,_xlpm.テスト内容数),
_xlpm.詳細項目数&amp;"-"&amp;_xlpm.観点数&amp;"-"&amp;_xlpm.テスト内容数（テスト内容が空の場合は1）
)</f>
        <v/>
      </c>
      <c r="B65" s="48" t="n"/>
      <c r="C65" s="48" t="n"/>
      <c r="D65" s="41" t="n"/>
      <c r="E65" s="41" t="n"/>
      <c r="F65" s="99" t="inlineStr">
        <is>
          <t>必須項目に値が指定されていない場合、レコードが登録されないこと。</t>
        </is>
      </c>
      <c r="G65" s="99" t="n"/>
      <c r="H65" s="99" t="n"/>
      <c r="I65" s="99" t="n"/>
      <c r="J65" s="60" t="n"/>
      <c r="K65" s="105" t="n"/>
      <c r="L65" s="44" t="n"/>
      <c r="M65" s="44" t="n"/>
      <c r="N65" s="283" t="n"/>
      <c r="O65" s="82" t="n"/>
      <c r="P65" s="46" t="n"/>
      <c r="Q65" s="283" t="n"/>
      <c r="R65" s="82" t="n"/>
    </row>
    <row r="66" ht="22" customFormat="1" customHeight="1" s="88">
      <c r="A66" s="38">
        <f t="array" ref="A66">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_xlpm.テスト内容数（テスト内容が空の場合は1）, IF(_xlpm.テスト内容数=0,1,_xlpm.テスト内容数),
_xlpm.詳細項目数&amp;"-"&amp;_xlpm.観点数&amp;"-"&amp;_xlpm.テスト内容数（テスト内容が空の場合は1）
)</f>
        <v/>
      </c>
      <c r="B66" s="48" t="n"/>
      <c r="C66" s="48" t="n"/>
      <c r="D66" s="41" t="n"/>
      <c r="E66" s="41" t="n"/>
      <c r="F66" s="99" t="inlineStr">
        <is>
          <t>更新対象の必須項目に値が指定されていない場合、レコードが更新されないこと。</t>
        </is>
      </c>
      <c r="G66" s="99" t="n"/>
      <c r="H66" s="99" t="n"/>
      <c r="I66" s="99" t="n"/>
      <c r="J66" s="60" t="n"/>
      <c r="K66" s="105" t="n"/>
      <c r="L66" s="44" t="n"/>
      <c r="M66" s="44" t="n"/>
      <c r="N66" s="283" t="n"/>
      <c r="O66" s="82" t="n"/>
      <c r="P66" s="46" t="n"/>
      <c r="Q66" s="283" t="n"/>
      <c r="R66" s="82" t="n"/>
    </row>
    <row r="67" ht="22" customFormat="1" customHeight="1" s="88">
      <c r="A67" s="38">
        <f t="array" ref="A67">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_xlpm.テスト内容数（テスト内容が空の場合は1）, IF(_xlpm.テスト内容数=0,1,_xlpm.テスト内容数),
_xlpm.詳細項目数&amp;"-"&amp;_xlpm.観点数&amp;"-"&amp;_xlpm.テスト内容数（テスト内容が空の場合は1）
)</f>
        <v/>
      </c>
      <c r="B67" s="48" t="n"/>
      <c r="C67" s="48" t="n"/>
      <c r="D67" s="41" t="n"/>
      <c r="E67" s="50" t="n"/>
      <c r="F67" s="99" t="inlineStr">
        <is>
          <t>必須項目は値あり、任意項目は値なしの場合、レコードが登録、更新されること。</t>
        </is>
      </c>
      <c r="G67" s="99" t="n"/>
      <c r="H67" s="99" t="n"/>
      <c r="I67" s="99" t="n"/>
      <c r="J67" s="60" t="n"/>
      <c r="K67" s="105" t="n"/>
      <c r="L67" s="44" t="n"/>
      <c r="M67" s="44" t="n"/>
      <c r="N67" s="283" t="n"/>
      <c r="O67" s="82" t="n"/>
      <c r="P67" s="46" t="n"/>
      <c r="Q67" s="283" t="n"/>
      <c r="R67" s="82" t="n"/>
    </row>
    <row r="68" ht="33" customFormat="1" customHeight="1" s="88">
      <c r="A68" s="38">
        <f t="array" ref="A68">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_xlpm.テスト内容数（テスト内容が空の場合は1）, IF(_xlpm.テスト内容数=0,1,_xlpm.テスト内容数),
_xlpm.詳細項目数&amp;"-"&amp;_xlpm.観点数&amp;"-"&amp;_xlpm.テスト内容数（テスト内容が空の場合は1）
)</f>
        <v/>
      </c>
      <c r="B68" s="48" t="n"/>
      <c r="C68" s="48" t="n"/>
      <c r="D68" s="41" t="n"/>
      <c r="E68" s="41" t="inlineStr">
        <is>
          <t>編集仕様</t>
        </is>
      </c>
      <c r="F68" s="99" t="inlineStr">
        <is>
          <t>取得した値を変換する設計となっている場合、登録、更新された値が［システム機能設計書/共通コンポーネント設計書の記載通り］であること。</t>
        </is>
      </c>
      <c r="G68" s="99" t="n"/>
      <c r="H68" s="99" t="n"/>
      <c r="I68" s="99" t="n"/>
      <c r="J68" s="60" t="n"/>
      <c r="K68" s="105" t="n"/>
      <c r="L68" s="44" t="n"/>
      <c r="M68" s="44" t="n"/>
      <c r="N68" s="283" t="n"/>
      <c r="O68" s="82" t="n"/>
      <c r="P68" s="46" t="n"/>
      <c r="Q68" s="283" t="n"/>
      <c r="R68" s="82" t="n"/>
    </row>
    <row r="69" ht="33" customFormat="1" customHeight="1" s="88">
      <c r="A69" s="38">
        <f t="array" ref="A69">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_xlpm.テスト内容数（テスト内容が空の場合は1）, IF(_xlpm.テスト内容数=0,1,_xlpm.テスト内容数),
_xlpm.詳細項目数&amp;"-"&amp;_xlpm.観点数&amp;"-"&amp;_xlpm.テスト内容数（テスト内容が空の場合は1）
)</f>
        <v/>
      </c>
      <c r="B69" s="48" t="n"/>
      <c r="C69" s="48" t="n"/>
      <c r="D69" s="41" t="n"/>
      <c r="E69" s="41" t="n"/>
      <c r="F69" s="40" t="inlineStr">
        <is>
          <t>取得した値を編集する処理が分岐する設計となっている場合、登録、更新された値が［システム機能設計書/共通コンポーネント設計書の記載通り］であること。</t>
        </is>
      </c>
      <c r="G69" s="99" t="n"/>
      <c r="H69" s="99" t="n"/>
      <c r="I69" s="99" t="n"/>
      <c r="J69" s="60" t="n"/>
      <c r="K69" s="105" t="n"/>
      <c r="L69" s="44" t="n"/>
      <c r="M69" s="44" t="n"/>
      <c r="N69" s="283" t="n"/>
      <c r="O69" s="82" t="n"/>
      <c r="P69" s="46" t="n"/>
      <c r="Q69" s="283" t="n"/>
      <c r="R69" s="82" t="n"/>
    </row>
    <row r="70" ht="33" customFormat="1" customHeight="1" s="88">
      <c r="A70" s="38">
        <f t="array" ref="A70">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_xlpm.テスト内容数（テスト内容が空の場合は1）, IF(_xlpm.テスト内容数=0,1,_xlpm.テスト内容数),
_xlpm.詳細項目数&amp;"-"&amp;_xlpm.観点数&amp;"-"&amp;_xlpm.テスト内容数（テスト内容が空の場合は1）
)</f>
        <v/>
      </c>
      <c r="B70" s="48" t="n"/>
      <c r="C70" s="48" t="n"/>
      <c r="D70" s="41" t="n"/>
      <c r="E70" s="41" t="n"/>
      <c r="F70" s="99" t="inlineStr">
        <is>
          <t>ループ処理によって、取得した値の編集を繰り返す設計となっている場合、登録、更新された値が［システム機能設計書/共通コンポーネント設計書の記載通り］であること。</t>
        </is>
      </c>
      <c r="G70" s="99" t="n"/>
      <c r="H70" s="99" t="n"/>
      <c r="I70" s="99" t="n"/>
      <c r="J70" s="60" t="n"/>
      <c r="K70" s="105" t="n"/>
      <c r="L70" s="44" t="n"/>
      <c r="M70" s="44" t="n"/>
      <c r="N70" s="283" t="n"/>
      <c r="O70" s="82" t="n"/>
      <c r="P70" s="46" t="n"/>
      <c r="Q70" s="283" t="n"/>
      <c r="R70" s="82" t="n"/>
    </row>
    <row r="71" ht="33" customFormat="1" customHeight="1" s="88">
      <c r="A71" s="38">
        <f t="array" ref="A7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_xlpm.テスト内容数（テスト内容が空の場合は1）, IF(_xlpm.テスト内容数=0,1,_xlpm.テスト内容数),
_xlpm.詳細項目数&amp;"-"&amp;_xlpm.観点数&amp;"-"&amp;_xlpm.テスト内容数（テスト内容が空の場合は1）
)</f>
        <v/>
      </c>
      <c r="B71" s="48" t="n"/>
      <c r="C71" s="48" t="n"/>
      <c r="D71" s="41" t="n"/>
      <c r="E71" s="41" t="n"/>
      <c r="F71" s="99" t="inlineStr">
        <is>
          <t>取得した値を使用して計算する設計となっている場合、登録、更新された値が［システム機能設計書/共通コンポーネント設計書の記載通り］であること。</t>
        </is>
      </c>
      <c r="G71" s="99" t="n"/>
      <c r="H71" s="99" t="n"/>
      <c r="I71" s="99" t="n"/>
      <c r="J71" s="60" t="n"/>
      <c r="K71" s="105" t="n"/>
      <c r="L71" s="44" t="n"/>
      <c r="M71" s="44" t="n"/>
      <c r="N71" s="283" t="n"/>
      <c r="O71" s="82" t="n"/>
      <c r="P71" s="46" t="n"/>
      <c r="Q71" s="283" t="n"/>
      <c r="R71" s="82" t="n"/>
    </row>
    <row r="72" ht="33" customFormat="1" customHeight="1" s="88">
      <c r="A72" s="38">
        <f t="array" ref="A72">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_xlpm.テスト内容数（テスト内容が空の場合は1）, IF(_xlpm.テスト内容数=0,1,_xlpm.テスト内容数),
_xlpm.詳細項目数&amp;"-"&amp;_xlpm.観点数&amp;"-"&amp;_xlpm.テスト内容数（テスト内容が空の場合は1）
)</f>
        <v/>
      </c>
      <c r="B72" s="48" t="n"/>
      <c r="C72" s="48" t="n"/>
      <c r="D72" s="41" t="n"/>
      <c r="E72" s="41" t="n"/>
      <c r="F72" s="99" t="inlineStr">
        <is>
          <t>取得した値を連結する設計となっている場合、登録、更新された値が［システム機能設計書/共通コンポーネント設計書の記載通り］であること。</t>
        </is>
      </c>
      <c r="G72" s="99" t="n"/>
      <c r="H72" s="99" t="n"/>
      <c r="I72" s="99" t="n"/>
      <c r="J72" s="60" t="n"/>
      <c r="K72" s="105" t="n"/>
      <c r="L72" s="44" t="n"/>
      <c r="M72" s="44" t="n"/>
      <c r="N72" s="283" t="n"/>
      <c r="O72" s="82" t="n"/>
      <c r="P72" s="46" t="n"/>
      <c r="Q72" s="283" t="n"/>
      <c r="R72" s="82" t="n"/>
    </row>
    <row r="73" ht="22" customFormat="1" customHeight="1" s="88">
      <c r="A73" s="38">
        <f t="array" ref="A73">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_xlpm.テスト内容数（テスト内容が空の場合は1）, IF(_xlpm.テスト内容数=0,1,_xlpm.テスト内容数),
_xlpm.詳細項目数&amp;"-"&amp;_xlpm.観点数&amp;"-"&amp;_xlpm.テスト内容数（テスト内容が空の場合は1）
)</f>
        <v/>
      </c>
      <c r="B73" s="48" t="n"/>
      <c r="C73" s="48" t="n"/>
      <c r="D73" s="41" t="n"/>
      <c r="E73" s="41" t="n"/>
      <c r="F73" s="99" t="inlineStr">
        <is>
          <t>取得した値を暗号化する設計となっている場合、登録、更新された値が暗号化されること。</t>
        </is>
      </c>
      <c r="G73" s="99" t="n"/>
      <c r="H73" s="99" t="n"/>
      <c r="I73" s="99" t="n"/>
      <c r="J73" s="60" t="n"/>
      <c r="K73" s="105" t="n"/>
      <c r="L73" s="44" t="n"/>
      <c r="M73" s="44" t="n"/>
      <c r="N73" s="283" t="n"/>
      <c r="O73" s="82" t="n"/>
      <c r="P73" s="46" t="n"/>
      <c r="Q73" s="283" t="n"/>
      <c r="R73" s="82" t="n"/>
    </row>
    <row r="74" ht="22" customFormat="1" customHeight="1" s="88">
      <c r="A74" s="38">
        <f t="array" ref="A74">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_xlpm.テスト内容数（テスト内容が空の場合は1）, IF(_xlpm.テスト内容数=0,1,_xlpm.テスト内容数),
_xlpm.詳細項目数&amp;"-"&amp;_xlpm.観点数&amp;"-"&amp;_xlpm.テスト内容数（テスト内容が空の場合は1）
)</f>
        <v/>
      </c>
      <c r="B74" s="48" t="n"/>
      <c r="C74" s="48" t="n"/>
      <c r="D74" s="41" t="n"/>
      <c r="E74" s="41" t="n"/>
      <c r="F74" s="99" t="inlineStr">
        <is>
          <t>取得した値をマスキングする設計となっている場合、登録、更新された値がマスキングされること。</t>
        </is>
      </c>
      <c r="G74" s="99" t="n"/>
      <c r="H74" s="99" t="n"/>
      <c r="I74" s="99" t="n"/>
      <c r="J74" s="60" t="n"/>
      <c r="K74" s="105" t="n"/>
      <c r="L74" s="44" t="n"/>
      <c r="M74" s="44" t="n"/>
      <c r="N74" s="283" t="n"/>
      <c r="O74" s="82" t="n"/>
      <c r="P74" s="46" t="n"/>
      <c r="Q74" s="283" t="n"/>
      <c r="R74" s="82" t="n"/>
    </row>
    <row r="75" ht="33" customFormat="1" customHeight="1" s="88">
      <c r="A75" s="38">
        <f t="array" ref="A75">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_xlpm.テスト内容数（テスト内容が空の場合は1）, IF(_xlpm.テスト内容数=0,1,_xlpm.テスト内容数),
_xlpm.詳細項目数&amp;"-"&amp;_xlpm.観点数&amp;"-"&amp;_xlpm.テスト内容数（テスト内容が空の場合は1）
)</f>
        <v/>
      </c>
      <c r="B75" s="48" t="n"/>
      <c r="C75" s="48" t="n"/>
      <c r="D75" s="41" t="n"/>
      <c r="E75" s="41" t="n"/>
      <c r="F75" s="40" t="inlineStr">
        <is>
          <t>取得した値に改行、タブ、メタキャラクタが含まれる場合、登録、更新された値がエンコーディング、サニタイジングされること。</t>
        </is>
      </c>
      <c r="G75" s="40" t="n"/>
      <c r="H75" s="40" t="n"/>
      <c r="I75" s="40" t="n"/>
      <c r="J75" s="61" t="n"/>
      <c r="K75" s="78" t="n"/>
      <c r="L75" s="63" t="n"/>
      <c r="M75" s="63" t="n"/>
      <c r="N75" s="284" t="n"/>
      <c r="O75" s="65" t="n"/>
      <c r="P75" s="66" t="n"/>
      <c r="Q75" s="284" t="n"/>
      <c r="R75" s="65" t="n"/>
    </row>
    <row r="76" ht="22" customFormat="1" customHeight="1" s="88">
      <c r="A76" s="38">
        <f t="array" ref="A76">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_xlpm.テスト内容数（テスト内容が空の場合は1）, IF(_xlpm.テスト内容数=0,1,_xlpm.テスト内容数),
_xlpm.詳細項目数&amp;"-"&amp;_xlpm.観点数&amp;"-"&amp;_xlpm.テスト内容数（テスト内容が空の場合は1）
)</f>
        <v/>
      </c>
      <c r="B76" s="98" t="n"/>
      <c r="C76" s="98" t="n"/>
      <c r="D76" s="90" t="n"/>
      <c r="E76" s="40" t="inlineStr">
        <is>
          <t>データ型</t>
        </is>
      </c>
      <c r="F76" s="40" t="inlineStr">
        <is>
          <t>カラムのデータ型に合わせて、指定された値が登録、更新されること。</t>
        </is>
      </c>
      <c r="G76" s="78" t="n"/>
      <c r="H76" s="99" t="n"/>
      <c r="I76" s="69" t="n"/>
      <c r="J76" s="105" t="n"/>
      <c r="K76" s="105" t="n"/>
      <c r="L76" s="105" t="n"/>
      <c r="M76" s="82" t="n"/>
      <c r="N76" s="82" t="n"/>
      <c r="O76" s="82" t="n"/>
      <c r="P76" s="101" t="n"/>
      <c r="Q76" s="105" t="n"/>
      <c r="R76" s="105" t="n"/>
    </row>
    <row r="77" customFormat="1" s="88">
      <c r="A77" s="38">
        <f t="array" ref="A77">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_xlpm.テスト内容数（テスト内容が空の場合は1）, IF(_xlpm.テスト内容数=0,1,_xlpm.テスト内容数),
_xlpm.詳細項目数&amp;"-"&amp;_xlpm.観点数&amp;"-"&amp;_xlpm.テスト内容数（テスト内容が空の場合は1）
)</f>
        <v/>
      </c>
      <c r="B77" s="54" t="n"/>
      <c r="C77" s="71" t="n"/>
      <c r="D77" s="41" t="n"/>
      <c r="E77" s="40" t="inlineStr">
        <is>
          <t>桁数</t>
        </is>
      </c>
      <c r="F77" s="40" t="inlineStr">
        <is>
          <t>最大長が指定された場合、登録、更新されること。</t>
        </is>
      </c>
      <c r="G77" s="40" t="n"/>
      <c r="H77" s="99" t="n"/>
      <c r="I77" s="72" t="n"/>
      <c r="J77" s="105" t="n"/>
      <c r="K77" s="105" t="n"/>
      <c r="L77" s="105" t="n"/>
      <c r="M77" s="82" t="n"/>
      <c r="N77" s="82" t="n"/>
      <c r="O77" s="82" t="n"/>
      <c r="P77" s="101" t="n"/>
      <c r="Q77" s="105" t="n"/>
      <c r="R77" s="105" t="n"/>
    </row>
    <row r="78" customFormat="1" s="88">
      <c r="A78" s="38">
        <f t="array" ref="A78">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_xlpm.テスト内容数（テスト内容が空の場合は1）, IF(_xlpm.テスト内容数=0,1,_xlpm.テスト内容数),
_xlpm.詳細項目数&amp;"-"&amp;_xlpm.観点数&amp;"-"&amp;_xlpm.テスト内容数（テスト内容が空の場合は1）
)</f>
        <v/>
      </c>
      <c r="B78" s="54" t="n"/>
      <c r="C78" s="71" t="n"/>
      <c r="D78" s="41" t="n"/>
      <c r="E78" s="41" t="n"/>
      <c r="F78" s="99" t="inlineStr">
        <is>
          <t>最大長＋1が指定された場合、登録、更新されないこと。</t>
        </is>
      </c>
      <c r="G78" s="99" t="n"/>
      <c r="H78" s="99" t="n"/>
      <c r="I78" s="99" t="n"/>
      <c r="J78" s="60" t="n"/>
      <c r="K78" s="105" t="n"/>
      <c r="L78" s="44" t="n"/>
      <c r="M78" s="44" t="n"/>
      <c r="N78" s="283" t="n"/>
      <c r="O78" s="82" t="n"/>
      <c r="P78" s="46" t="n"/>
      <c r="Q78" s="283" t="n"/>
      <c r="R78" s="82" t="n"/>
    </row>
    <row r="79">
      <c r="A79" s="38">
        <f t="array" ref="A79">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_xlpm.テスト内容数（テスト内容が空の場合は1）, IF(_xlpm.テスト内容数=0,1,_xlpm.テスト内容数),
_xlpm.詳細項目数&amp;"-"&amp;_xlpm.観点数&amp;"-"&amp;_xlpm.テスト内容数（テスト内容が空の場合は1）
)</f>
        <v/>
      </c>
      <c r="B79" s="48" t="n"/>
      <c r="C79" s="71" t="n"/>
      <c r="D79" s="41" t="n"/>
      <c r="E79" s="41" t="n"/>
      <c r="F79" s="99" t="inlineStr">
        <is>
          <t>最小長が指定された場合、登録、更新されること。</t>
        </is>
      </c>
      <c r="G79" s="99" t="n"/>
      <c r="H79" s="99" t="n"/>
      <c r="I79" s="99" t="n"/>
      <c r="J79" s="60" t="n"/>
      <c r="K79" s="82" t="n"/>
      <c r="L79" s="44" t="n"/>
      <c r="M79" s="44" t="n"/>
      <c r="N79" s="82" t="n"/>
      <c r="O79" s="82" t="n"/>
      <c r="P79" s="82" t="n"/>
      <c r="Q79" s="82" t="n"/>
      <c r="R79" s="82" t="n"/>
    </row>
    <row r="80">
      <c r="A80" s="38">
        <f t="array" ref="A80">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_xlpm.テスト内容数（テスト内容が空の場合は1）, IF(_xlpm.テスト内容数=0,1,_xlpm.テスト内容数),
_xlpm.詳細項目数&amp;"-"&amp;_xlpm.観点数&amp;"-"&amp;_xlpm.テスト内容数（テスト内容が空の場合は1）
)</f>
        <v/>
      </c>
      <c r="B80" s="48" t="n"/>
      <c r="C80" s="71" t="n"/>
      <c r="D80" s="41" t="n"/>
      <c r="E80" s="41" t="n"/>
      <c r="F80" s="99" t="inlineStr">
        <is>
          <t>最小長－1が指定された場合、登録、更新されないこと。</t>
        </is>
      </c>
      <c r="G80" s="99" t="n"/>
      <c r="H80" s="99" t="n"/>
      <c r="I80" s="99" t="n"/>
      <c r="J80" s="60" t="n"/>
      <c r="K80" s="82" t="n"/>
      <c r="L80" s="44" t="n"/>
      <c r="M80" s="44" t="n"/>
      <c r="N80" s="82" t="n"/>
      <c r="O80" s="82" t="n"/>
      <c r="P80" s="82" t="n"/>
      <c r="Q80" s="82" t="n"/>
      <c r="R80" s="82" t="n"/>
    </row>
    <row r="81" ht="22" customHeight="1">
      <c r="A81" s="38">
        <f t="array" ref="A8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_xlpm.テスト内容数（テスト内容が空の場合は1）, IF(_xlpm.テスト内容数=0,1,_xlpm.テスト内容数),
_xlpm.詳細項目数&amp;"-"&amp;_xlpm.観点数&amp;"-"&amp;_xlpm.テスト内容数（テスト内容が空の場合は1）
)</f>
        <v/>
      </c>
      <c r="B81" s="54" t="n"/>
      <c r="C81" s="73" t="n"/>
      <c r="D81" s="50" t="n"/>
      <c r="E81" s="50" t="n"/>
      <c r="F81" s="99" t="inlineStr">
        <is>
          <t>サロゲートペア文字を許容する設計となっている場合、サロゲートペア文字を含む値が登録、更新されること。</t>
        </is>
      </c>
      <c r="G81" s="44" t="n"/>
      <c r="H81" s="99" t="n"/>
      <c r="I81" s="99" t="n"/>
      <c r="J81" s="60" t="n"/>
      <c r="K81" s="82" t="n"/>
      <c r="L81" s="44" t="n"/>
      <c r="M81" s="44" t="n"/>
      <c r="N81" s="82" t="n"/>
      <c r="O81" s="82" t="n"/>
      <c r="P81" s="82" t="n"/>
      <c r="Q81" s="82" t="n"/>
      <c r="R81" s="82" t="n"/>
    </row>
    <row r="82" ht="22" customHeight="1">
      <c r="A82" s="38">
        <f t="array" ref="A82">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_xlpm.テスト内容数（テスト内容が空の場合は1）, IF(_xlpm.テスト内容数=0,1,_xlpm.テスト内容数),
_xlpm.詳細項目数&amp;"-"&amp;_xlpm.観点数&amp;"-"&amp;_xlpm.テスト内容数（テスト内容が空の場合は1）
)</f>
        <v/>
      </c>
      <c r="B82" s="54" t="n"/>
      <c r="C82" s="53" t="inlineStr">
        <is>
          <t>検索</t>
        </is>
      </c>
      <c r="D82" s="40" t="inlineStr">
        <is>
          <t>実行結果</t>
        </is>
      </c>
      <c r="E82" s="40" t="inlineStr">
        <is>
          <t>-</t>
        </is>
      </c>
      <c r="F82" s="40" t="inlineStr">
        <is>
          <t>検索対象のテーブルにレコードがある場合、期待したレコードを取得できること。</t>
        </is>
      </c>
      <c r="G82" s="99" t="n"/>
      <c r="H82" s="99" t="n"/>
      <c r="I82" s="99" t="n"/>
      <c r="J82" s="60" t="n"/>
      <c r="K82" s="105" t="n"/>
      <c r="L82" s="44" t="n"/>
      <c r="M82" s="44" t="n"/>
      <c r="N82" s="82" t="n"/>
      <c r="O82" s="46" t="n"/>
      <c r="P82" s="82" t="n"/>
      <c r="Q82" s="82" t="n"/>
      <c r="R82" s="82" t="n"/>
    </row>
    <row r="83" ht="33" customHeight="1">
      <c r="A83" s="38">
        <f t="array" ref="A83">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_xlpm.テスト内容数（テスト内容が空の場合は1）, IF(_xlpm.テスト内容数=0,1,_xlpm.テスト内容数),
_xlpm.詳細項目数&amp;"-"&amp;_xlpm.観点数&amp;"-"&amp;_xlpm.テスト内容数（テスト内容が空の場合は1）
)</f>
        <v/>
      </c>
      <c r="B83" s="48" t="n"/>
      <c r="C83" s="74" t="n"/>
      <c r="D83" s="41" t="n"/>
      <c r="E83" s="41" t="n"/>
      <c r="F83" s="40" t="inlineStr">
        <is>
          <t>検索対象のテーブルのレコードが0件の場合、［システム機能設計書/共通コンポーネント設計書の記載通りの挙動］であること。</t>
        </is>
      </c>
      <c r="G83" s="99" t="n"/>
      <c r="H83" s="99" t="n"/>
      <c r="I83" s="99" t="n"/>
      <c r="J83" s="60" t="n"/>
      <c r="K83" s="105" t="n"/>
      <c r="L83" s="44" t="n"/>
      <c r="M83" s="44" t="n"/>
      <c r="N83" s="82" t="n"/>
      <c r="O83" s="46" t="n"/>
      <c r="P83" s="82" t="n"/>
      <c r="Q83" s="82" t="n"/>
      <c r="R83" s="82" t="n"/>
    </row>
    <row r="84">
      <c r="A84" s="38">
        <f t="array" ref="A84">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_xlpm.テスト内容数（テスト内容が空の場合は1）, IF(_xlpm.テスト内容数=0,1,_xlpm.テスト内容数),
_xlpm.詳細項目数&amp;"-"&amp;_xlpm.観点数&amp;"-"&amp;_xlpm.テスト内容数（テスト内容が空の場合は1）
)</f>
        <v/>
      </c>
      <c r="B84" s="48" t="n"/>
      <c r="C84" s="74" t="n"/>
      <c r="D84" s="41" t="n"/>
      <c r="E84" s="40" t="inlineStr">
        <is>
          <t>件数</t>
        </is>
      </c>
      <c r="F84" s="40" t="inlineStr">
        <is>
          <t>期待したレコード件数を取得できること。</t>
        </is>
      </c>
      <c r="G84" s="99" t="n"/>
      <c r="H84" s="99" t="n"/>
      <c r="I84" s="99" t="n"/>
      <c r="J84" s="60" t="n"/>
      <c r="K84" s="82" t="n"/>
      <c r="L84" s="44" t="n"/>
      <c r="M84" s="44" t="n"/>
      <c r="N84" s="82" t="n"/>
      <c r="O84" s="82" t="n"/>
      <c r="P84" s="82" t="n"/>
      <c r="Q84" s="82" t="n"/>
      <c r="R84" s="82" t="n"/>
    </row>
    <row r="85" ht="33" customHeight="1">
      <c r="A85" s="38">
        <f t="array" ref="A85">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_xlpm.テスト内容数（テスト内容が空の場合は1）, IF(_xlpm.テスト内容数=0,1,_xlpm.テスト内容数),
_xlpm.詳細項目数&amp;"-"&amp;_xlpm.観点数&amp;"-"&amp;_xlpm.テスト内容数（テスト内容が空の場合は1）
)</f>
        <v/>
      </c>
      <c r="B85" s="48" t="n"/>
      <c r="C85" s="74" t="n"/>
      <c r="D85" s="41" t="n"/>
      <c r="E85" s="40" t="inlineStr">
        <is>
          <t>結合</t>
        </is>
      </c>
      <c r="F85" s="99" t="inlineStr">
        <is>
          <t>内部結合（INNER JOIN句）を使用する場合、［システム機能設計書/共通コンポーネント設計書の記載通り］に結合された結果が取得できること。</t>
        </is>
      </c>
      <c r="G85" s="99" t="n"/>
      <c r="H85" s="99" t="n"/>
      <c r="I85" s="99" t="n"/>
      <c r="J85" s="60" t="n"/>
      <c r="K85" s="105" t="n"/>
      <c r="L85" s="44" t="n"/>
      <c r="M85" s="44" t="n"/>
      <c r="N85" s="82" t="n"/>
      <c r="O85" s="82" t="n"/>
      <c r="P85" s="82" t="n"/>
      <c r="Q85" s="82" t="n"/>
      <c r="R85" s="82" t="n"/>
    </row>
    <row r="86" ht="33" customHeight="1">
      <c r="A86" s="38">
        <f t="array" ref="A86">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_xlpm.テスト内容数（テスト内容が空の場合は1）, IF(_xlpm.テスト内容数=0,1,_xlpm.テスト内容数),
_xlpm.詳細項目数&amp;"-"&amp;_xlpm.観点数&amp;"-"&amp;_xlpm.テスト内容数（テスト内容が空の場合は1）
)</f>
        <v/>
      </c>
      <c r="B86" s="48" t="n"/>
      <c r="C86" s="74" t="n"/>
      <c r="D86" s="41" t="n"/>
      <c r="E86" s="50" t="n"/>
      <c r="F86" s="99" t="inlineStr">
        <is>
          <t>外部結合（OUTER JOIN句）を使用する場合、［システム機能設計書/共通コンポーネント設計書の記載通り］に結合された結果が取得できること。</t>
        </is>
      </c>
      <c r="G86" s="99" t="n"/>
      <c r="H86" s="99" t="n"/>
      <c r="I86" s="99" t="n"/>
      <c r="J86" s="60" t="n"/>
      <c r="K86" s="82" t="n"/>
      <c r="L86" s="44" t="n"/>
      <c r="M86" s="44" t="n"/>
      <c r="N86" s="82" t="n"/>
      <c r="O86" s="82" t="n"/>
      <c r="P86" s="82" t="n"/>
      <c r="Q86" s="82" t="n"/>
      <c r="R86" s="82" t="n"/>
    </row>
    <row r="87" ht="22" customHeight="1">
      <c r="A87" s="38">
        <f t="array" ref="A87">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_xlpm.テスト内容数（テスト内容が空の場合は1）, IF(_xlpm.テスト内容数=0,1,_xlpm.テスト内容数),
_xlpm.詳細項目数&amp;"-"&amp;_xlpm.観点数&amp;"-"&amp;_xlpm.テスト内容数（テスト内容が空の場合は1）
)</f>
        <v/>
      </c>
      <c r="B87" s="48" t="n"/>
      <c r="C87" s="74" t="n"/>
      <c r="D87" s="41" t="n"/>
      <c r="E87" s="50" t="inlineStr">
        <is>
          <t>ソート順</t>
        </is>
      </c>
      <c r="F87" s="99" t="inlineStr">
        <is>
          <t>ORDER BY句に指定した条件でソートされた結果を取得できること。</t>
        </is>
      </c>
      <c r="G87" s="99" t="n"/>
      <c r="H87" s="99" t="n"/>
      <c r="I87" s="99" t="n"/>
      <c r="J87" s="60" t="n"/>
      <c r="K87" s="82" t="n"/>
      <c r="L87" s="44" t="n"/>
      <c r="M87" s="44" t="n"/>
      <c r="N87" s="82" t="n"/>
      <c r="O87" s="82" t="n"/>
      <c r="P87" s="82" t="n"/>
      <c r="Q87" s="82" t="n"/>
      <c r="R87" s="82" t="n"/>
    </row>
    <row r="88" ht="22" customHeight="1">
      <c r="A88" s="38">
        <f t="array" ref="A88">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_xlpm.テスト内容数（テスト内容が空の場合は1）, IF(_xlpm.テスト内容数=0,1,_xlpm.テスト内容数),
_xlpm.詳細項目数&amp;"-"&amp;_xlpm.観点数&amp;"-"&amp;_xlpm.テスト内容数（テスト内容が空の場合は1）
)</f>
        <v/>
      </c>
      <c r="B88" s="48" t="n"/>
      <c r="C88" s="75" t="n"/>
      <c r="D88" s="50" t="n"/>
      <c r="E88" s="50" t="inlineStr">
        <is>
          <t>グループ化</t>
        </is>
      </c>
      <c r="F88" s="99" t="inlineStr">
        <is>
          <t>GROUP BY句に指定した条件でグループ化された結果を取得できること。</t>
        </is>
      </c>
      <c r="G88" s="99" t="n"/>
      <c r="H88" s="99" t="n"/>
      <c r="I88" s="99" t="n"/>
      <c r="J88" s="60" t="n"/>
      <c r="K88" s="82" t="n"/>
      <c r="L88" s="44" t="n"/>
      <c r="M88" s="44" t="n"/>
      <c r="N88" s="82" t="n"/>
      <c r="O88" s="82" t="n"/>
      <c r="P88" s="82" t="n"/>
      <c r="Q88" s="82" t="n"/>
      <c r="R88" s="82" t="n"/>
    </row>
    <row r="89" ht="22" customHeight="1">
      <c r="A89" s="38">
        <f t="array" ref="A89">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_xlpm.テスト内容数（テスト内容が空の場合は1）, IF(_xlpm.テスト内容数=0,1,_xlpm.テスト内容数),
_xlpm.詳細項目数&amp;"-"&amp;_xlpm.観点数&amp;"-"&amp;_xlpm.テスト内容数（テスト内容が空の場合は1）
)</f>
        <v/>
      </c>
      <c r="B89" s="48" t="n"/>
      <c r="C89" s="41" t="inlineStr">
        <is>
          <t>登録</t>
        </is>
      </c>
      <c r="D89" s="41" t="inlineStr">
        <is>
          <t>実行結果</t>
        </is>
      </c>
      <c r="E89" s="99" t="inlineStr">
        <is>
          <t>-</t>
        </is>
      </c>
      <c r="F89" s="99" t="inlineStr">
        <is>
          <t>登録対象のテーブルに期待したレコードが追加されること。</t>
        </is>
      </c>
      <c r="G89" s="99" t="n"/>
      <c r="H89" s="99" t="n"/>
      <c r="I89" s="76" t="n"/>
      <c r="J89" s="60" t="n"/>
      <c r="K89" s="82" t="n"/>
      <c r="L89" s="44" t="n"/>
      <c r="M89" s="44" t="n"/>
      <c r="N89" s="82" t="n"/>
      <c r="O89" s="82" t="n"/>
      <c r="P89" s="82" t="n"/>
      <c r="Q89" s="82" t="n"/>
      <c r="R89" s="82" t="n"/>
    </row>
    <row r="90">
      <c r="A90" s="38">
        <f t="array" ref="A90">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_xlpm.テスト内容数（テスト内容が空の場合は1）, IF(_xlpm.テスト内容数=0,1,_xlpm.テスト内容数),
_xlpm.詳細項目数&amp;"-"&amp;_xlpm.観点数&amp;"-"&amp;_xlpm.テスト内容数（テスト内容が空の場合は1）
)</f>
        <v/>
      </c>
      <c r="B90" s="48" t="n"/>
      <c r="C90" s="74" t="n"/>
      <c r="D90" s="41" t="n"/>
      <c r="E90" s="50" t="inlineStr">
        <is>
          <t>件数</t>
        </is>
      </c>
      <c r="F90" s="99" t="inlineStr">
        <is>
          <t>期待したレコード件数を登録できること。</t>
        </is>
      </c>
      <c r="G90" s="99" t="n"/>
      <c r="H90" s="99" t="n"/>
      <c r="I90" s="76" t="n"/>
      <c r="J90" s="60" t="n"/>
      <c r="K90" s="82" t="n"/>
      <c r="L90" s="44" t="n"/>
      <c r="M90" s="44" t="n"/>
      <c r="N90" s="82" t="n"/>
      <c r="O90" s="82" t="n"/>
      <c r="P90" s="82" t="n"/>
      <c r="Q90" s="82" t="n"/>
      <c r="R90" s="82" t="n"/>
    </row>
    <row r="91" ht="33" customHeight="1">
      <c r="A91" s="38">
        <f t="array" ref="A9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_xlpm.テスト内容数（テスト内容が空の場合は1）, IF(_xlpm.テスト内容数=0,1,_xlpm.テスト内容数),
_xlpm.詳細項目数&amp;"-"&amp;_xlpm.観点数&amp;"-"&amp;_xlpm.テスト内容数（テスト内容が空の場合は1）
)</f>
        <v/>
      </c>
      <c r="B91" s="48" t="n"/>
      <c r="C91" s="75" t="n"/>
      <c r="D91" s="50" t="n"/>
      <c r="E91" s="50" t="inlineStr">
        <is>
          <t>エラー</t>
        </is>
      </c>
      <c r="F91" s="99" t="inlineStr">
        <is>
          <t>エラーが発生した場合、登録対象のテーブルの状態が［システム機能設計書/共通コンポーネント設計書/方式設計書の記載通り］であること。</t>
        </is>
      </c>
      <c r="G91" s="99" t="n"/>
      <c r="H91" s="99" t="n"/>
      <c r="I91" s="99" t="n"/>
      <c r="J91" s="60" t="n"/>
      <c r="K91" s="82" t="n"/>
      <c r="L91" s="44" t="n"/>
      <c r="M91" s="44" t="n"/>
      <c r="N91" s="82" t="n"/>
      <c r="O91" s="82" t="n"/>
      <c r="P91" s="82" t="n"/>
      <c r="Q91" s="82" t="n"/>
      <c r="R91" s="82" t="n"/>
    </row>
    <row r="92" ht="22" customHeight="1">
      <c r="A92" s="38">
        <f t="array" ref="A92">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_xlpm.テスト内容数（テスト内容が空の場合は1）, IF(_xlpm.テスト内容数=0,1,_xlpm.テスト内容数),
_xlpm.詳細項目数&amp;"-"&amp;_xlpm.観点数&amp;"-"&amp;_xlpm.テスト内容数（テスト内容が空の場合は1）
)</f>
        <v/>
      </c>
      <c r="B92" s="48" t="n"/>
      <c r="C92" s="52" t="inlineStr">
        <is>
          <t>更新</t>
        </is>
      </c>
      <c r="D92" s="41" t="inlineStr">
        <is>
          <t>実行結果</t>
        </is>
      </c>
      <c r="E92" s="40" t="inlineStr">
        <is>
          <t>-</t>
        </is>
      </c>
      <c r="F92" s="40" t="inlineStr">
        <is>
          <t>更新対象のテーブルに更新するレコードがある場合、期待したレコードが更新されること。</t>
        </is>
      </c>
      <c r="G92" s="40" t="n"/>
      <c r="H92" s="99" t="n"/>
      <c r="I92" s="76" t="n"/>
      <c r="J92" s="60" t="n"/>
      <c r="K92" s="82" t="n"/>
      <c r="L92" s="44" t="n"/>
      <c r="M92" s="44" t="n"/>
      <c r="N92" s="82" t="n"/>
      <c r="O92" s="46" t="n"/>
      <c r="P92" s="82" t="n"/>
      <c r="Q92" s="82" t="n"/>
      <c r="R92" s="82" t="n"/>
    </row>
    <row r="93" ht="33" customHeight="1">
      <c r="A93" s="38">
        <f t="array" ref="A93">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_xlpm.テスト内容数（テスト内容が空の場合は1）, IF(_xlpm.テスト内容数=0,1,_xlpm.テスト内容数),
_xlpm.詳細項目数&amp;"-"&amp;_xlpm.観点数&amp;"-"&amp;_xlpm.テスト内容数（テスト内容が空の場合は1）
)</f>
        <v/>
      </c>
      <c r="B93" s="48" t="n"/>
      <c r="C93" s="74" t="n"/>
      <c r="D93" s="41" t="n"/>
      <c r="E93" s="50" t="n"/>
      <c r="F93" s="40" t="inlineStr">
        <is>
          <t>更新対象のテーブルに更新するレコードがない場合、［システム機能設計書/共通コンポーネント設計書の記載通りの挙動］となること。</t>
        </is>
      </c>
      <c r="G93" s="40" t="n"/>
      <c r="H93" s="99" t="n"/>
      <c r="I93" s="76" t="n"/>
      <c r="J93" s="60" t="n"/>
      <c r="K93" s="82" t="n"/>
      <c r="L93" s="44" t="n"/>
      <c r="M93" s="44" t="n"/>
      <c r="N93" s="82" t="n"/>
      <c r="O93" s="82" t="n"/>
      <c r="P93" s="82" t="n"/>
      <c r="Q93" s="82" t="n"/>
      <c r="R93" s="82" t="n"/>
    </row>
    <row r="94">
      <c r="A94" s="38">
        <f t="array" ref="A94">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_xlpm.テスト内容数（テスト内容が空の場合は1）, IF(_xlpm.テスト内容数=0,1,_xlpm.テスト内容数),
_xlpm.詳細項目数&amp;"-"&amp;_xlpm.観点数&amp;"-"&amp;_xlpm.テスト内容数（テスト内容が空の場合は1）
)</f>
        <v/>
      </c>
      <c r="B94" s="48" t="n"/>
      <c r="C94" s="74" t="n"/>
      <c r="D94" s="41" t="n"/>
      <c r="E94" s="99" t="inlineStr">
        <is>
          <t>件数</t>
        </is>
      </c>
      <c r="F94" s="99" t="inlineStr">
        <is>
          <t>期待したレコード件数を更新できること。</t>
        </is>
      </c>
      <c r="G94" s="99" t="n"/>
      <c r="H94" s="99" t="n"/>
      <c r="I94" s="76" t="n"/>
      <c r="J94" s="60" t="n"/>
      <c r="K94" s="82" t="n"/>
      <c r="L94" s="44" t="n"/>
      <c r="M94" s="44" t="n"/>
      <c r="N94" s="82" t="n"/>
      <c r="O94" s="82" t="n"/>
      <c r="P94" s="82" t="n"/>
      <c r="Q94" s="82" t="n"/>
      <c r="R94" s="82" t="n"/>
    </row>
    <row r="95" ht="33" customHeight="1">
      <c r="A95" s="38">
        <f t="array" ref="A95">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_xlpm.テスト内容数（テスト内容が空の場合は1）, IF(_xlpm.テスト内容数=0,1,_xlpm.テスト内容数),
_xlpm.詳細項目数&amp;"-"&amp;_xlpm.観点数&amp;"-"&amp;_xlpm.テスト内容数（テスト内容が空の場合は1）
)</f>
        <v/>
      </c>
      <c r="B95" s="48" t="n"/>
      <c r="C95" s="74" t="n"/>
      <c r="D95" s="41" t="n"/>
      <c r="E95" s="41" t="inlineStr">
        <is>
          <t>結合</t>
        </is>
      </c>
      <c r="F95" s="99" t="inlineStr">
        <is>
          <t>内部結合（INNER JOIN句）を使用する場合、［システム機能設計書/共通コンポーネント設計書の記載通り］に結合されたレコードが更新できること。</t>
        </is>
      </c>
      <c r="G95" s="99" t="n"/>
      <c r="H95" s="99" t="n"/>
      <c r="I95" s="99" t="n"/>
      <c r="J95" s="60" t="n"/>
      <c r="K95" s="82" t="n"/>
      <c r="L95" s="44" t="n"/>
      <c r="M95" s="44" t="n"/>
      <c r="N95" s="82" t="n"/>
      <c r="O95" s="82" t="n"/>
      <c r="P95" s="82" t="n"/>
      <c r="Q95" s="82" t="n"/>
      <c r="R95" s="82" t="n"/>
    </row>
    <row r="96" ht="33" customHeight="1">
      <c r="A96" s="38">
        <f t="array" ref="A96">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_xlpm.テスト内容数（テスト内容が空の場合は1）, IF(_xlpm.テスト内容数=0,1,_xlpm.テスト内容数),
_xlpm.詳細項目数&amp;"-"&amp;_xlpm.観点数&amp;"-"&amp;_xlpm.テスト内容数（テスト内容が空の場合は1）
)</f>
        <v/>
      </c>
      <c r="B96" s="48" t="n"/>
      <c r="C96" s="74" t="n"/>
      <c r="D96" s="41" t="n"/>
      <c r="E96" s="50" t="n"/>
      <c r="F96" s="99" t="inlineStr">
        <is>
          <t>外部結合（OUTER JOIN句）を使用する場合、［システム機能設計書/共通コンポーネント設計書の記載通り］に結合されたレコードが更新できること。</t>
        </is>
      </c>
      <c r="G96" s="99" t="n"/>
      <c r="H96" s="99" t="n"/>
      <c r="I96" s="99" t="n"/>
      <c r="J96" s="60" t="n"/>
      <c r="K96" s="82" t="n"/>
      <c r="L96" s="44" t="n"/>
      <c r="M96" s="44" t="n"/>
      <c r="N96" s="82" t="n"/>
      <c r="O96" s="82" t="n"/>
      <c r="P96" s="82" t="n"/>
      <c r="Q96" s="82" t="n"/>
      <c r="R96" s="82" t="n"/>
    </row>
    <row r="97" ht="33" customHeight="1">
      <c r="A97" s="38">
        <f t="array" ref="A97">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_xlpm.テスト内容数（テスト内容が空の場合は1）, IF(_xlpm.テスト内容数=0,1,_xlpm.テスト内容数),
_xlpm.詳細項目数&amp;"-"&amp;_xlpm.観点数&amp;"-"&amp;_xlpm.テスト内容数（テスト内容が空の場合は1）
)</f>
        <v/>
      </c>
      <c r="B97" s="48" t="n"/>
      <c r="C97" s="75" t="n"/>
      <c r="D97" s="50" t="n"/>
      <c r="E97" s="50" t="inlineStr">
        <is>
          <t>エラー</t>
        </is>
      </c>
      <c r="F97" s="99" t="inlineStr">
        <is>
          <t>エラーが発生した場合、更新対象のテーブルの状態が［システム機能設計書/共通コンポーネント設計書/方式設計書の記載通り］であること。</t>
        </is>
      </c>
      <c r="G97" s="99" t="n"/>
      <c r="H97" s="99" t="n"/>
      <c r="I97" s="99" t="n"/>
      <c r="J97" s="60" t="n"/>
      <c r="K97" s="82" t="n"/>
      <c r="L97" s="44" t="n"/>
      <c r="M97" s="44" t="n"/>
      <c r="N97" s="82" t="n"/>
      <c r="O97" s="82" t="n"/>
      <c r="P97" s="82" t="n"/>
      <c r="Q97" s="82" t="n"/>
      <c r="R97" s="82" t="n"/>
    </row>
    <row r="98" ht="22" customHeight="1">
      <c r="A98" s="38">
        <f t="array" ref="A98">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_xlpm.テスト内容数（テスト内容が空の場合は1）, IF(_xlpm.テスト内容数=0,1,_xlpm.テスト内容数),
_xlpm.詳細項目数&amp;"-"&amp;_xlpm.観点数&amp;"-"&amp;_xlpm.テスト内容数（テスト内容が空の場合は1）
)</f>
        <v/>
      </c>
      <c r="B98" s="48" t="n"/>
      <c r="C98" s="41" t="inlineStr">
        <is>
          <t>削除</t>
        </is>
      </c>
      <c r="D98" s="41" t="inlineStr">
        <is>
          <t>実行結果</t>
        </is>
      </c>
      <c r="E98" s="41" t="inlineStr">
        <is>
          <t>論理削除</t>
        </is>
      </c>
      <c r="F98" s="99" t="inlineStr">
        <is>
          <t>論理削除対象のテーブルに更新するレコードがある場合、期待したレコードが論理削除されること。</t>
        </is>
      </c>
      <c r="G98" s="99" t="n"/>
      <c r="H98" s="99" t="n"/>
      <c r="I98" s="99" t="n"/>
      <c r="J98" s="60" t="n"/>
      <c r="K98" s="82" t="n"/>
      <c r="L98" s="44" t="n"/>
      <c r="M98" s="44" t="n"/>
      <c r="N98" s="82" t="n"/>
      <c r="O98" s="82" t="n"/>
      <c r="P98" s="82" t="n"/>
      <c r="Q98" s="82" t="n"/>
      <c r="R98" s="82" t="n"/>
    </row>
    <row r="99" ht="33" customHeight="1">
      <c r="A99" s="38">
        <f t="array" ref="A99">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_xlpm.テスト内容数（テスト内容が空の場合は1）, IF(_xlpm.テスト内容数=0,1,_xlpm.テスト内容数),
_xlpm.詳細項目数&amp;"-"&amp;_xlpm.観点数&amp;"-"&amp;_xlpm.テスト内容数（テスト内容が空の場合は1）
)</f>
        <v/>
      </c>
      <c r="B99" s="48" t="n"/>
      <c r="C99" s="48" t="n"/>
      <c r="D99" s="41" t="n"/>
      <c r="E99" s="41" t="n"/>
      <c r="F99" s="99" t="inlineStr">
        <is>
          <t>論理削除対象のテーブルに更新するレコードがない場合、［システム機能設計書/共通コンポーネント設計書の記載通りの挙動］となること。</t>
        </is>
      </c>
      <c r="G99" s="99" t="n"/>
      <c r="H99" s="99" t="n"/>
      <c r="I99" s="99" t="n"/>
      <c r="J99" s="60" t="n"/>
      <c r="K99" s="82" t="n"/>
      <c r="L99" s="44" t="n"/>
      <c r="M99" s="44" t="n"/>
      <c r="N99" s="82" t="n"/>
      <c r="O99" s="82" t="n"/>
      <c r="P99" s="82" t="n"/>
      <c r="Q99" s="82" t="n"/>
      <c r="R99" s="82" t="n"/>
    </row>
    <row r="100">
      <c r="A100" s="38">
        <f t="array" ref="A100">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_xlpm.テスト内容数（テスト内容が空の場合は1）, IF(_xlpm.テスト内容数=0,1,_xlpm.テスト内容数),
_xlpm.詳細項目数&amp;"-"&amp;_xlpm.観点数&amp;"-"&amp;_xlpm.テスト内容数（テスト内容が空の場合は1）
)</f>
        <v/>
      </c>
      <c r="B100" s="48" t="n"/>
      <c r="C100" s="48" t="n"/>
      <c r="D100" s="41" t="n"/>
      <c r="E100" s="41" t="n"/>
      <c r="F100" s="99" t="inlineStr">
        <is>
          <t>期待したレコード件数を論理削除できること。</t>
        </is>
      </c>
      <c r="G100" s="99" t="n"/>
      <c r="H100" s="99" t="n"/>
      <c r="I100" s="99" t="n"/>
      <c r="J100" s="60" t="n"/>
      <c r="K100" s="82" t="n"/>
      <c r="L100" s="44" t="n"/>
      <c r="M100" s="44" t="n"/>
      <c r="N100" s="82" t="n"/>
      <c r="O100" s="82" t="n"/>
      <c r="P100" s="82" t="n"/>
      <c r="Q100" s="82" t="n"/>
      <c r="R100" s="82" t="n"/>
    </row>
    <row r="101" ht="33" customHeight="1">
      <c r="A101" s="38">
        <f t="array" ref="A10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_xlpm.テスト内容数（テスト内容が空の場合は1）, IF(_xlpm.テスト内容数=0,1,_xlpm.テスト内容数),
_xlpm.詳細項目数&amp;"-"&amp;_xlpm.観点数&amp;"-"&amp;_xlpm.テスト内容数（テスト内容が空の場合は1）
)</f>
        <v/>
      </c>
      <c r="B101" s="48" t="n"/>
      <c r="C101" s="74" t="n"/>
      <c r="D101" s="41" t="n"/>
      <c r="E101" s="41" t="n"/>
      <c r="F101" s="99" t="inlineStr">
        <is>
          <t>内部結合（INNER JOIN句）を使用する場合、［システム機能設計書/共通コンポーネント設計書の記載通り］に結合されたレコードが論理削除できること。</t>
        </is>
      </c>
      <c r="G101" s="99" t="n"/>
      <c r="H101" s="99" t="n"/>
      <c r="I101" s="99" t="n"/>
      <c r="J101" s="60" t="n"/>
      <c r="K101" s="82" t="n"/>
      <c r="L101" s="44" t="n"/>
      <c r="M101" s="44" t="n"/>
      <c r="N101" s="82" t="n"/>
      <c r="O101" s="82" t="n"/>
      <c r="P101" s="82" t="n"/>
      <c r="Q101" s="82" t="n"/>
      <c r="R101" s="82" t="n"/>
    </row>
    <row r="102" ht="33" customHeight="1">
      <c r="A102" s="38">
        <f t="array" ref="A102">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_xlpm.テスト内容数（テスト内容が空の場合は1）, IF(_xlpm.テスト内容数=0,1,_xlpm.テスト内容数),
_xlpm.詳細項目数&amp;"-"&amp;_xlpm.観点数&amp;"-"&amp;_xlpm.テスト内容数（テスト内容が空の場合は1）
)</f>
        <v/>
      </c>
      <c r="B102" s="48" t="n"/>
      <c r="C102" s="74" t="n"/>
      <c r="D102" s="41" t="n"/>
      <c r="E102" s="50" t="n"/>
      <c r="F102" s="99" t="inlineStr">
        <is>
          <t>外部結合（OUTER JOIN句）を使用する場合、［システム機能設計書/共通コンポーネント設計書の記載通り］に結合されたレコードが論理削除できること。</t>
        </is>
      </c>
      <c r="G102" s="99" t="n"/>
      <c r="H102" s="99" t="n"/>
      <c r="I102" s="99" t="n"/>
      <c r="J102" s="60" t="n"/>
      <c r="K102" s="82" t="n"/>
      <c r="L102" s="44" t="n"/>
      <c r="M102" s="44" t="n"/>
      <c r="N102" s="82" t="n"/>
      <c r="O102" s="82" t="n"/>
      <c r="P102" s="82" t="n"/>
      <c r="Q102" s="82" t="n"/>
      <c r="R102" s="82" t="n"/>
    </row>
    <row r="103" ht="22" customHeight="1">
      <c r="A103" s="38">
        <f t="array" ref="A103">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_xlpm.テスト内容数（テスト内容が空の場合は1）, IF(_xlpm.テスト内容数=0,1,_xlpm.テスト内容数),
_xlpm.詳細項目数&amp;"-"&amp;_xlpm.観点数&amp;"-"&amp;_xlpm.テスト内容数（テスト内容が空の場合は1）
)</f>
        <v/>
      </c>
      <c r="B103" s="48" t="n"/>
      <c r="C103" s="48" t="n"/>
      <c r="D103" s="41" t="n"/>
      <c r="E103" s="41" t="inlineStr">
        <is>
          <t>物理削除</t>
        </is>
      </c>
      <c r="F103" s="99" t="inlineStr">
        <is>
          <t>物理削除対象のテーブルに削除するレコードがある場合、期待したレコードが物理削除されること。</t>
        </is>
      </c>
      <c r="G103" s="99" t="n"/>
      <c r="H103" s="99" t="n"/>
      <c r="I103" s="76" t="n"/>
      <c r="J103" s="60" t="n"/>
      <c r="K103" s="82" t="n"/>
      <c r="L103" s="44" t="n"/>
      <c r="M103" s="44" t="n"/>
      <c r="N103" s="82" t="n"/>
      <c r="O103" s="82" t="n"/>
      <c r="P103" s="82" t="n"/>
      <c r="Q103" s="82" t="n"/>
      <c r="R103" s="82" t="n"/>
    </row>
    <row r="104" ht="33" customHeight="1">
      <c r="A104" s="38">
        <f t="array" ref="A104">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_xlpm.テスト内容数（テスト内容が空の場合は1）, IF(_xlpm.テスト内容数=0,1,_xlpm.テスト内容数),
_xlpm.詳細項目数&amp;"-"&amp;_xlpm.観点数&amp;"-"&amp;_xlpm.テスト内容数（テスト内容が空の場合は1）
)</f>
        <v/>
      </c>
      <c r="B104" s="71" t="n"/>
      <c r="C104" s="54" t="n"/>
      <c r="D104" s="41" t="n"/>
      <c r="E104" s="41" t="n"/>
      <c r="F104" s="99" t="inlineStr">
        <is>
          <t>物理削除対象のテーブルに削除するレコードがない場合、［システム機能設計書/共通コンポーネント設計書の記載通りの挙動］となること。</t>
        </is>
      </c>
      <c r="G104" s="99" t="n"/>
      <c r="H104" s="99" t="n"/>
      <c r="I104" s="99" t="n"/>
      <c r="J104" s="60" t="n"/>
      <c r="K104" s="82" t="n"/>
      <c r="L104" s="44" t="n"/>
      <c r="M104" s="44" t="n"/>
      <c r="N104" s="82" t="n"/>
      <c r="O104" s="82" t="n"/>
      <c r="P104" s="82" t="n"/>
      <c r="Q104" s="82" t="n"/>
      <c r="R104" s="82" t="n"/>
    </row>
    <row r="105">
      <c r="A105" s="38">
        <f t="array" ref="A105">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_xlpm.テスト内容数（テスト内容が空の場合は1）, IF(_xlpm.テスト内容数=0,1,_xlpm.テスト内容数),
_xlpm.詳細項目数&amp;"-"&amp;_xlpm.観点数&amp;"-"&amp;_xlpm.テスト内容数（テスト内容が空の場合は1）
)</f>
        <v/>
      </c>
      <c r="B105" s="71" t="n"/>
      <c r="C105" s="54" t="n"/>
      <c r="D105" s="41" t="n"/>
      <c r="E105" s="41" t="n"/>
      <c r="F105" s="99" t="inlineStr">
        <is>
          <t>期待したレコード件数を物理削除できること。</t>
        </is>
      </c>
      <c r="G105" s="99" t="n"/>
      <c r="H105" s="99" t="n"/>
      <c r="I105" s="76" t="n"/>
      <c r="J105" s="60" t="n"/>
      <c r="K105" s="82" t="n"/>
      <c r="L105" s="44" t="n"/>
      <c r="M105" s="44" t="n"/>
      <c r="N105" s="82" t="n"/>
      <c r="O105" s="82" t="n"/>
      <c r="P105" s="82" t="n"/>
      <c r="Q105" s="82" t="n"/>
      <c r="R105" s="82" t="n"/>
    </row>
    <row r="106" ht="33" customHeight="1">
      <c r="A106" s="38">
        <f t="array" ref="A106">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_xlpm.テスト内容数（テスト内容が空の場合は1）, IF(_xlpm.テスト内容数=0,1,_xlpm.テスト内容数),
_xlpm.詳細項目数&amp;"-"&amp;_xlpm.観点数&amp;"-"&amp;_xlpm.テスト内容数（テスト内容が空の場合は1）
)</f>
        <v/>
      </c>
      <c r="B106" s="48" t="n"/>
      <c r="C106" s="74" t="n"/>
      <c r="D106" s="41" t="n"/>
      <c r="E106" s="41" t="n"/>
      <c r="F106" s="99" t="inlineStr">
        <is>
          <t>内部結合（INNER JOIN句）を使用する場合、［システム機能設計書/共通コンポーネント設計書の記載通り］に結合されたレコードが物理削除できること。</t>
        </is>
      </c>
      <c r="G106" s="99" t="n"/>
      <c r="H106" s="99" t="n"/>
      <c r="I106" s="99" t="n"/>
      <c r="J106" s="60" t="n"/>
      <c r="K106" s="82" t="n"/>
      <c r="L106" s="44" t="n"/>
      <c r="M106" s="44" t="n"/>
      <c r="N106" s="82" t="n"/>
      <c r="O106" s="82" t="n"/>
      <c r="P106" s="82" t="n"/>
      <c r="Q106" s="82" t="n"/>
      <c r="R106" s="82" t="n"/>
    </row>
    <row r="107" ht="33" customHeight="1">
      <c r="A107" s="38">
        <f t="array" ref="A107">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_xlpm.テスト内容数（テスト内容が空の場合は1）, IF(_xlpm.テスト内容数=0,1,_xlpm.テスト内容数),
_xlpm.詳細項目数&amp;"-"&amp;_xlpm.観点数&amp;"-"&amp;_xlpm.テスト内容数（テスト内容が空の場合は1）
)</f>
        <v/>
      </c>
      <c r="B107" s="48" t="n"/>
      <c r="C107" s="74" t="n"/>
      <c r="D107" s="41" t="n"/>
      <c r="E107" s="41" t="n"/>
      <c r="F107" s="40" t="inlineStr">
        <is>
          <t>外部結合（OUTER JOIN句）を使用する場合、［システム機能設計書/共通コンポーネント設計書の記載通り］に結合されたレコードが物理削除できること。</t>
        </is>
      </c>
      <c r="G107" s="99" t="n"/>
      <c r="H107" s="40" t="n"/>
      <c r="I107" s="40" t="n"/>
      <c r="J107" s="61" t="n"/>
      <c r="K107" s="65" t="n"/>
      <c r="L107" s="63" t="n"/>
      <c r="M107" s="63" t="n"/>
      <c r="N107" s="65" t="n"/>
      <c r="O107" s="65" t="n"/>
      <c r="P107" s="65" t="n"/>
      <c r="Q107" s="65" t="n"/>
      <c r="R107" s="65" t="n"/>
    </row>
    <row r="108" ht="33" customHeight="1">
      <c r="A108" s="38">
        <f t="array" ref="A108">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_xlpm.テスト内容数（テスト内容が空の場合は1）, IF(_xlpm.テスト内容数=0,1,_xlpm.テスト内容数),
_xlpm.詳細項目数&amp;"-"&amp;_xlpm.観点数&amp;"-"&amp;_xlpm.テスト内容数（テスト内容が空の場合は1）
)</f>
        <v/>
      </c>
      <c r="B108" s="73" t="n"/>
      <c r="C108" s="75" t="n"/>
      <c r="D108" s="50" t="n"/>
      <c r="E108" s="99" t="inlineStr">
        <is>
          <t>エラー</t>
        </is>
      </c>
      <c r="F108" s="99" t="inlineStr">
        <is>
          <t>エラーが発生した場合、削除対象のテーブルの状態が［システム機能設計書/共通コンポーネント設計書/方式設計書の記載通り］であること。</t>
        </is>
      </c>
      <c r="G108" s="99" t="n"/>
      <c r="H108" s="99" t="n"/>
      <c r="I108" s="99" t="n"/>
      <c r="J108" s="60" t="n"/>
      <c r="K108" s="82" t="n"/>
      <c r="L108" s="44" t="n"/>
      <c r="M108" s="44" t="n"/>
      <c r="N108" s="82" t="n"/>
      <c r="O108" s="82" t="n"/>
      <c r="P108" s="82" t="n"/>
      <c r="Q108" s="82" t="n"/>
      <c r="R108" s="82" t="n"/>
    </row>
    <row r="109" ht="33" customHeight="1">
      <c r="A109" s="38">
        <f t="array" ref="A109">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_xlpm.テスト内容数（テスト内容が空の場合は1）, IF(_xlpm.テスト内容数=0,1,_xlpm.テスト内容数),
_xlpm.詳細項目数&amp;"-"&amp;_xlpm.観点数&amp;"-"&amp;_xlpm.テスト内容数（テスト内容が空の場合は1）
)</f>
        <v/>
      </c>
      <c r="B109" s="77" t="inlineStr">
        <is>
          <t>DB制御</t>
        </is>
      </c>
      <c r="C109" s="99" t="inlineStr">
        <is>
          <t>更新順序</t>
        </is>
      </c>
      <c r="D109" s="99" t="inlineStr">
        <is>
          <t>-</t>
        </is>
      </c>
      <c r="E109" s="50" t="inlineStr">
        <is>
          <t>-</t>
        </is>
      </c>
      <c r="F109" s="99" t="inlineStr">
        <is>
          <t>複数テーブルに対し、登録、更新、削除を行う場合、処理されるテーブルの順序が［システム機能設計書/共通コンポーネント設計書の記載通り］であること。</t>
        </is>
      </c>
      <c r="G109" s="99" t="n"/>
      <c r="H109" s="99" t="n"/>
      <c r="I109" s="99" t="n"/>
      <c r="J109" s="82" t="n"/>
      <c r="K109" s="82" t="n"/>
      <c r="L109" s="44" t="n"/>
      <c r="M109" s="44" t="n"/>
      <c r="N109" s="82" t="n"/>
      <c r="O109" s="82" t="n"/>
      <c r="P109" s="82" t="n"/>
      <c r="Q109" s="82" t="n"/>
      <c r="R109" s="82" t="n"/>
    </row>
    <row r="110">
      <c r="A110" s="38">
        <f t="array" ref="A110">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_xlpm.テスト内容数（テスト内容が空の場合は1）, IF(_xlpm.テスト内容数=0,1,_xlpm.テスト内容数),
_xlpm.詳細項目数&amp;"-"&amp;_xlpm.観点数&amp;"-"&amp;_xlpm.テスト内容数（テスト内容が空の場合は1）
)</f>
        <v/>
      </c>
      <c r="B110" s="48" t="n"/>
      <c r="C110" s="41" t="inlineStr">
        <is>
          <t>排他制御</t>
        </is>
      </c>
      <c r="D110" s="41" t="inlineStr">
        <is>
          <t>-</t>
        </is>
      </c>
      <c r="E110" s="41" t="inlineStr">
        <is>
          <t>-</t>
        </is>
      </c>
      <c r="F110" s="99" t="inlineStr">
        <is>
          <t>登録、更新、削除の実行時に楽観的ロックができること。</t>
        </is>
      </c>
      <c r="G110" s="99" t="n"/>
      <c r="H110" s="99" t="n"/>
      <c r="I110" s="99" t="n"/>
      <c r="J110" s="82" t="n"/>
      <c r="K110" s="82" t="n"/>
      <c r="L110" s="44" t="n"/>
      <c r="M110" s="44" t="n"/>
      <c r="N110" s="82" t="n"/>
      <c r="O110" s="82" t="n"/>
      <c r="P110" s="82" t="n"/>
      <c r="Q110" s="82" t="n"/>
      <c r="R110" s="82" t="n"/>
    </row>
    <row r="111">
      <c r="A111" s="38">
        <f t="array" ref="A11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_xlpm.テスト内容数（テスト内容が空の場合は1）, IF(_xlpm.テスト内容数=0,1,_xlpm.テスト内容数),
_xlpm.詳細項目数&amp;"-"&amp;_xlpm.観点数&amp;"-"&amp;_xlpm.テスト内容数（テスト内容が空の場合は1）
)</f>
        <v/>
      </c>
      <c r="B111" s="48" t="n"/>
      <c r="C111" s="50" t="n"/>
      <c r="D111" s="50" t="n"/>
      <c r="E111" s="50" t="n"/>
      <c r="F111" s="99" t="inlineStr">
        <is>
          <t>登録、更新、削除の実行時に悲観的ロックができること。</t>
        </is>
      </c>
      <c r="G111" s="99" t="n"/>
      <c r="H111" s="99" t="n"/>
      <c r="I111" s="99" t="n"/>
      <c r="J111" s="82" t="n"/>
      <c r="K111" s="82" t="n"/>
      <c r="L111" s="44" t="n"/>
      <c r="M111" s="44" t="n"/>
      <c r="N111" s="82" t="n"/>
      <c r="O111" s="82" t="n"/>
      <c r="P111" s="82" t="n"/>
      <c r="Q111" s="82" t="n"/>
      <c r="R111" s="82" t="n"/>
    </row>
    <row r="112" ht="22" customHeight="1">
      <c r="A112" s="38">
        <f t="array" ref="A112">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_xlpm.テスト内容数（テスト内容が空の場合は1）, IF(_xlpm.テスト内容数=0,1,_xlpm.テスト内容数),
_xlpm.詳細項目数&amp;"-"&amp;_xlpm.観点数&amp;"-"&amp;_xlpm.テスト内容数（テスト内容が空の場合は1）
)</f>
        <v/>
      </c>
      <c r="B112" s="48" t="n"/>
      <c r="C112" s="50" t="inlineStr">
        <is>
          <t>ロールバック</t>
        </is>
      </c>
      <c r="D112" s="50" t="inlineStr">
        <is>
          <t>-</t>
        </is>
      </c>
      <c r="E112" s="50" t="inlineStr">
        <is>
          <t>-</t>
        </is>
      </c>
      <c r="F112" s="99" t="inlineStr">
        <is>
          <t>エラーが発生した場合、ロールバックされること。</t>
        </is>
      </c>
      <c r="G112" s="99" t="n"/>
      <c r="H112" s="99" t="n"/>
      <c r="I112" s="99" t="n"/>
      <c r="J112" s="82" t="n"/>
      <c r="K112" s="82" t="n"/>
      <c r="L112" s="44" t="n"/>
      <c r="M112" s="44" t="n"/>
      <c r="N112" s="82" t="n"/>
      <c r="O112" s="82" t="n"/>
      <c r="P112" s="82" t="n"/>
      <c r="Q112" s="82" t="n"/>
      <c r="R112" s="82" t="n"/>
    </row>
    <row r="113" ht="22" customHeight="1">
      <c r="A113" s="38">
        <f t="array" ref="A113">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_xlpm.テスト内容数（テスト内容が空の場合は1）, IF(_xlpm.テスト内容数=0,1,_xlpm.テスト内容数),
_xlpm.詳細項目数&amp;"-"&amp;_xlpm.観点数&amp;"-"&amp;_xlpm.テスト内容数（テスト内容が空の場合は1）
)</f>
        <v/>
      </c>
      <c r="B113" s="48" t="n"/>
      <c r="C113" s="41" t="inlineStr">
        <is>
          <t>コミット</t>
        </is>
      </c>
      <c r="D113" s="41" t="inlineStr">
        <is>
          <t>-</t>
        </is>
      </c>
      <c r="E113" s="41" t="inlineStr">
        <is>
          <t>-</t>
        </is>
      </c>
      <c r="F113" s="99" t="inlineStr">
        <is>
          <t>コミットタイミングが［方式設計書の記載通り］であること。</t>
        </is>
      </c>
      <c r="G113" s="99" t="n"/>
      <c r="H113" s="99" t="n"/>
      <c r="I113" s="99" t="n"/>
      <c r="J113" s="82" t="n"/>
      <c r="K113" s="82" t="n"/>
      <c r="L113" s="44" t="n"/>
      <c r="M113" s="44" t="n"/>
      <c r="N113" s="82" t="n"/>
      <c r="O113" s="82" t="n"/>
      <c r="P113" s="82" t="n"/>
      <c r="Q113" s="82" t="n"/>
      <c r="R113" s="82" t="n"/>
    </row>
    <row r="114">
      <c r="A114" s="38">
        <f t="array" ref="A114">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_xlpm.テスト内容数（テスト内容が空の場合は1）, IF(_xlpm.テスト内容数=0,1,_xlpm.テスト内容数),
_xlpm.詳細項目数&amp;"-"&amp;_xlpm.観点数&amp;"-"&amp;_xlpm.テスト内容数（テスト内容が空の場合は1）
)</f>
        <v/>
      </c>
      <c r="B114" s="57" t="n"/>
      <c r="C114" s="50" t="n"/>
      <c r="D114" s="50" t="n"/>
      <c r="E114" s="50" t="n"/>
      <c r="F114" s="99" t="inlineStr">
        <is>
          <t>コミットの単位が［方式設計書の記載通り］であること。</t>
        </is>
      </c>
      <c r="G114" s="99" t="n"/>
      <c r="H114" s="99" t="n"/>
      <c r="I114" s="99" t="n"/>
      <c r="J114" s="82" t="n"/>
      <c r="K114" s="82" t="n"/>
      <c r="L114" s="44" t="n"/>
      <c r="M114" s="44" t="n"/>
      <c r="N114" s="82" t="n"/>
      <c r="O114" s="82" t="n"/>
      <c r="P114" s="82" t="n"/>
      <c r="Q114" s="82" t="n"/>
      <c r="R114" s="82" t="n"/>
    </row>
    <row r="115" ht="22" customHeight="1">
      <c r="A115" s="38">
        <f t="array" ref="A115">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_xlpm.テスト内容数（テスト内容が空の場合は1）, IF(_xlpm.テスト内容数=0,1,_xlpm.テスト内容数),
_xlpm.詳細項目数&amp;"-"&amp;_xlpm.観点数&amp;"-"&amp;_xlpm.テスト内容数（テスト内容が空の場合は1）
)</f>
        <v/>
      </c>
      <c r="B115" s="39" t="inlineStr">
        <is>
          <t>ファイル取込</t>
        </is>
      </c>
      <c r="C115" s="40" t="inlineStr">
        <is>
          <t>実行結果</t>
        </is>
      </c>
      <c r="D115" s="40" t="inlineStr">
        <is>
          <t>-</t>
        </is>
      </c>
      <c r="E115" s="39" t="inlineStr">
        <is>
          <t>-</t>
        </is>
      </c>
      <c r="F115" s="99" t="inlineStr">
        <is>
          <t>取り込まれたファイルの格納先が［システム機能設計書/共通コンポーネント設計書の記載通り］であること。</t>
        </is>
      </c>
      <c r="G115" s="99" t="n"/>
      <c r="H115" s="99" t="n"/>
      <c r="I115" s="99" t="n"/>
      <c r="J115" s="82" t="n"/>
      <c r="K115" s="82" t="n"/>
      <c r="L115" s="82" t="n"/>
      <c r="M115" s="82" t="n"/>
      <c r="N115" s="82" t="n"/>
      <c r="O115" s="82" t="n"/>
      <c r="P115" s="82" t="n"/>
      <c r="Q115" s="82" t="n"/>
      <c r="R115" s="82" t="n"/>
    </row>
    <row r="116" ht="22" customHeight="1">
      <c r="A116" s="38">
        <f t="array" ref="A116">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_xlpm.テスト内容数（テスト内容が空の場合は1）, IF(_xlpm.テスト内容数=0,1,_xlpm.テスト内容数),
_xlpm.詳細項目数&amp;"-"&amp;_xlpm.観点数&amp;"-"&amp;_xlpm.テスト内容数（テスト内容が空の場合は1）
)</f>
        <v/>
      </c>
      <c r="B116" s="41" t="inlineStr">
        <is>
          <t>※ファイルアップロードを含む</t>
        </is>
      </c>
      <c r="C116" s="52" t="n"/>
      <c r="D116" s="41" t="n"/>
      <c r="E116" s="58" t="n"/>
      <c r="F116" s="99" t="inlineStr">
        <is>
          <t>取り込まれたファイルが、指定のファイル名で格納されること。</t>
        </is>
      </c>
      <c r="G116" s="99" t="n"/>
      <c r="H116" s="99" t="n"/>
      <c r="I116" s="99" t="n"/>
      <c r="J116" s="82" t="n"/>
      <c r="K116" s="82" t="n"/>
      <c r="L116" s="82" t="n"/>
      <c r="M116" s="82" t="n"/>
      <c r="N116" s="82" t="n"/>
      <c r="O116" s="82" t="n"/>
      <c r="P116" s="82" t="n"/>
      <c r="Q116" s="82" t="n"/>
      <c r="R116" s="82" t="n"/>
    </row>
    <row r="117" ht="22" customHeight="1">
      <c r="A117" s="38">
        <f t="array" ref="A117">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_xlpm.テスト内容数（テスト内容が空の場合は1）, IF(_xlpm.テスト内容数=0,1,_xlpm.テスト内容数),
_xlpm.詳細項目数&amp;"-"&amp;_xlpm.観点数&amp;"-"&amp;_xlpm.テスト内容数（テスト内容が空の場合は1）
)</f>
        <v/>
      </c>
      <c r="B117" s="285" t="n"/>
      <c r="C117" s="52" t="n"/>
      <c r="D117" s="41" t="n"/>
      <c r="E117" s="58" t="n"/>
      <c r="F117" s="99" t="inlineStr">
        <is>
          <t>取り込まれたファイルのアクセス権限が［システム機能設計書/共通コンポーネント設計書の記載通り］であること。</t>
        </is>
      </c>
      <c r="G117" s="99" t="n"/>
      <c r="H117" s="99" t="n"/>
      <c r="I117" s="99" t="n"/>
      <c r="J117" s="82" t="n"/>
      <c r="K117" s="82" t="n"/>
      <c r="L117" s="82" t="n"/>
      <c r="M117" s="82" t="n"/>
      <c r="N117" s="82" t="n"/>
      <c r="O117" s="82" t="n"/>
      <c r="P117" s="82" t="n"/>
      <c r="Q117" s="82" t="n"/>
      <c r="R117" s="82" t="n"/>
    </row>
    <row r="118" ht="22" customHeight="1">
      <c r="A118" s="38">
        <f t="array" ref="A118">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_xlpm.テスト内容数（テスト内容が空の場合は1）, IF(_xlpm.テスト内容数=0,1,_xlpm.テスト内容数),
_xlpm.詳細項目数&amp;"-"&amp;_xlpm.観点数&amp;"-"&amp;_xlpm.テスト内容数（テスト内容が空の場合は1）
)</f>
        <v/>
      </c>
      <c r="B118" s="58" t="n"/>
      <c r="C118" s="52" t="n"/>
      <c r="D118" s="41" t="n"/>
      <c r="E118" s="50" t="n"/>
      <c r="F118" s="99" t="inlineStr">
        <is>
          <t>取り込まれたファイルの所有権が［システム機能設計書/共通コンポーネント設計書の記載通り］であること。</t>
        </is>
      </c>
      <c r="G118" s="99" t="n"/>
      <c r="H118" s="99" t="n"/>
      <c r="I118" s="99" t="n"/>
      <c r="J118" s="82" t="n"/>
      <c r="K118" s="82" t="n"/>
      <c r="L118" s="82" t="n"/>
      <c r="M118" s="82" t="n"/>
      <c r="N118" s="82" t="n"/>
      <c r="O118" s="82" t="n"/>
      <c r="P118" s="82" t="n"/>
      <c r="Q118" s="82" t="n"/>
      <c r="R118" s="82" t="n"/>
    </row>
    <row r="119" ht="22" customHeight="1">
      <c r="A119" s="38">
        <f t="array" ref="A119">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_xlpm.テスト内容数（テスト内容が空の場合は1）, IF(_xlpm.テスト内容数=0,1,_xlpm.テスト内容数),
_xlpm.詳細項目数&amp;"-"&amp;_xlpm.観点数&amp;"-"&amp;_xlpm.テスト内容数（テスト内容が空の場合は1）
)</f>
        <v/>
      </c>
      <c r="B119" s="58" t="n"/>
      <c r="C119" s="52" t="n"/>
      <c r="D119" s="41" t="n"/>
      <c r="E119" s="41" t="inlineStr">
        <is>
          <t>桁数</t>
        </is>
      </c>
      <c r="F119" s="99" t="inlineStr">
        <is>
          <t>取り込まれたファイルに含まれるレコードの長さが最大長の場合、エラーとならないこと。</t>
        </is>
      </c>
      <c r="G119" s="99" t="n"/>
      <c r="H119" s="99" t="n"/>
      <c r="I119" s="99" t="n"/>
      <c r="J119" s="82" t="n"/>
      <c r="K119" s="82" t="n"/>
      <c r="L119" s="82" t="n"/>
      <c r="M119" s="82" t="n"/>
      <c r="N119" s="82" t="n"/>
      <c r="O119" s="82" t="n"/>
      <c r="P119" s="82" t="n"/>
      <c r="Q119" s="82" t="n"/>
      <c r="R119" s="82" t="n"/>
    </row>
    <row r="120" ht="22" customHeight="1">
      <c r="A120" s="38">
        <f t="array" ref="A120">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_xlpm.テスト内容数（テスト内容が空の場合は1）, IF(_xlpm.テスト内容数=0,1,_xlpm.テスト内容数),
_xlpm.詳細項目数&amp;"-"&amp;_xlpm.観点数&amp;"-"&amp;_xlpm.テスト内容数（テスト内容が空の場合は1）
)</f>
        <v/>
      </c>
      <c r="B120" s="58" t="n"/>
      <c r="C120" s="52" t="n"/>
      <c r="D120" s="41" t="n"/>
      <c r="E120" s="41" t="n"/>
      <c r="F120" s="99" t="inlineStr">
        <is>
          <t>取り込まれたファイルに含まれるレコードの長さが最大長＋1の場合、エラーとなること。</t>
        </is>
      </c>
      <c r="G120" s="99" t="n"/>
      <c r="H120" s="99" t="n"/>
      <c r="I120" s="99" t="n"/>
      <c r="J120" s="82" t="n"/>
      <c r="K120" s="82" t="n"/>
      <c r="L120" s="82" t="n"/>
      <c r="M120" s="82" t="n"/>
      <c r="N120" s="82" t="n"/>
      <c r="O120" s="82" t="n"/>
      <c r="P120" s="82" t="n"/>
      <c r="Q120" s="82" t="n"/>
      <c r="R120" s="82" t="n"/>
    </row>
    <row r="121" ht="22" customHeight="1">
      <c r="A121" s="38">
        <f t="array" ref="A12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_xlpm.テスト内容数（テスト内容が空の場合は1）, IF(_xlpm.テスト内容数=0,1,_xlpm.テスト内容数),
_xlpm.詳細項目数&amp;"-"&amp;_xlpm.観点数&amp;"-"&amp;_xlpm.テスト内容数（テスト内容が空の場合は1）
)</f>
        <v/>
      </c>
      <c r="B121" s="58" t="n"/>
      <c r="C121" s="52" t="n"/>
      <c r="D121" s="41" t="n"/>
      <c r="E121" s="41" t="n"/>
      <c r="F121" s="99" t="inlineStr">
        <is>
          <t>取り込まれたファイルに含まれるレコードの長さが最小長の場合、エラーとならないこと。</t>
        </is>
      </c>
      <c r="G121" s="99" t="n"/>
      <c r="H121" s="99" t="n"/>
      <c r="I121" s="99" t="n"/>
      <c r="J121" s="82" t="n"/>
      <c r="K121" s="82" t="n"/>
      <c r="L121" s="82" t="n"/>
      <c r="M121" s="82" t="n"/>
      <c r="N121" s="82" t="n"/>
      <c r="O121" s="82" t="n"/>
      <c r="P121" s="82" t="n"/>
      <c r="Q121" s="82" t="n"/>
      <c r="R121" s="82" t="n"/>
    </row>
    <row r="122" ht="22" customHeight="1">
      <c r="A122" s="38">
        <f t="array" ref="A122">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_xlpm.テスト内容数（テスト内容が空の場合は1）, IF(_xlpm.テスト内容数=0,1,_xlpm.テスト内容数),
_xlpm.詳細項目数&amp;"-"&amp;_xlpm.観点数&amp;"-"&amp;_xlpm.テスト内容数（テスト内容が空の場合は1）
)</f>
        <v/>
      </c>
      <c r="B122" s="58" t="n"/>
      <c r="C122" s="52" t="n"/>
      <c r="D122" s="41" t="n"/>
      <c r="E122" s="41" t="n"/>
      <c r="F122" s="99" t="inlineStr">
        <is>
          <t>取り込まれたファイルに含まれるレコードの長さが最小長-1の場合、エラーとなること。</t>
        </is>
      </c>
      <c r="G122" s="99" t="n"/>
      <c r="H122" s="99" t="n"/>
      <c r="I122" s="99" t="n"/>
      <c r="J122" s="82" t="n"/>
      <c r="K122" s="82" t="n"/>
      <c r="L122" s="82" t="n"/>
      <c r="M122" s="82" t="n"/>
      <c r="N122" s="82" t="n"/>
      <c r="O122" s="82" t="n"/>
      <c r="P122" s="82" t="n"/>
      <c r="Q122" s="82" t="n"/>
      <c r="R122" s="82" t="n"/>
    </row>
    <row r="123" ht="33" customHeight="1">
      <c r="A123" s="38">
        <f t="array" ref="A123">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_xlpm.テスト内容数（テスト内容が空の場合は1）, IF(_xlpm.テスト内容数=0,1,_xlpm.テスト内容数),
_xlpm.詳細項目数&amp;"-"&amp;_xlpm.観点数&amp;"-"&amp;_xlpm.テスト内容数（テスト内容が空の場合は1）
)</f>
        <v/>
      </c>
      <c r="B123" s="58" t="n"/>
      <c r="C123" s="52" t="n"/>
      <c r="D123" s="41" t="n"/>
      <c r="E123" s="50" t="n"/>
      <c r="F123" s="99" t="inlineStr">
        <is>
          <t>サロゲートペア文字を許容する設計となっている場合、サロゲートペア文字を含むレコードを取り込んだ結果がエラーとならないこと。</t>
        </is>
      </c>
      <c r="G123" s="99" t="n"/>
      <c r="H123" s="99" t="n"/>
      <c r="I123" s="99" t="n"/>
      <c r="J123" s="82" t="n"/>
      <c r="K123" s="82" t="n"/>
      <c r="L123" s="82" t="n"/>
      <c r="M123" s="82" t="n"/>
      <c r="N123" s="82" t="n"/>
      <c r="O123" s="82" t="n"/>
      <c r="P123" s="82" t="n"/>
      <c r="Q123" s="82" t="n"/>
      <c r="R123" s="82" t="n"/>
    </row>
    <row r="124" ht="33" customHeight="1">
      <c r="A124" s="38">
        <f t="array" ref="A124">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_xlpm.テスト内容数（テスト内容が空の場合は1）, IF(_xlpm.テスト内容数=0,1,_xlpm.テスト内容数),
_xlpm.詳細項目数&amp;"-"&amp;_xlpm.観点数&amp;"-"&amp;_xlpm.テスト内容数（テスト内容が空の場合は1）
)</f>
        <v/>
      </c>
      <c r="B124" s="58" t="n"/>
      <c r="C124" s="52" t="n"/>
      <c r="D124" s="41" t="n"/>
      <c r="E124" s="41" t="inlineStr">
        <is>
          <t>レコード件数</t>
        </is>
      </c>
      <c r="F124" s="99" t="inlineStr">
        <is>
          <t>取り込まれたファイルのレコード件数が複数の場合、［システム機能設計書/共通コンポーネント設計書の記載通りの挙動］となること。</t>
        </is>
      </c>
      <c r="G124" s="99" t="n"/>
      <c r="H124" s="99" t="n"/>
      <c r="I124" s="99" t="n"/>
      <c r="J124" s="82" t="n"/>
      <c r="K124" s="82" t="n"/>
      <c r="L124" s="82" t="n"/>
      <c r="M124" s="82" t="n"/>
      <c r="N124" s="82" t="n"/>
      <c r="O124" s="82" t="n"/>
      <c r="P124" s="82" t="n"/>
      <c r="Q124" s="82" t="n"/>
      <c r="R124" s="82" t="n"/>
    </row>
    <row r="125" ht="33" customHeight="1">
      <c r="A125" s="38">
        <f t="array" ref="A125">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_xlpm.テスト内容数（テスト内容が空の場合は1）, IF(_xlpm.テスト内容数=0,1,_xlpm.テスト内容数),
_xlpm.詳細項目数&amp;"-"&amp;_xlpm.観点数&amp;"-"&amp;_xlpm.テスト内容数（テスト内容が空の場合は1）
)</f>
        <v/>
      </c>
      <c r="B125" s="58" t="n"/>
      <c r="C125" s="52" t="n"/>
      <c r="D125" s="41" t="n"/>
      <c r="E125" s="41" t="n"/>
      <c r="F125" s="99" t="inlineStr">
        <is>
          <t>取り込まれたファイルのレコードが0件（空ファイル）の場合、［システム機能設計書/共通コンポーネント設計書の記載通りの挙動］となること。</t>
        </is>
      </c>
      <c r="G125" s="99" t="n"/>
      <c r="H125" s="99" t="n"/>
      <c r="I125" s="99" t="n"/>
      <c r="J125" s="82" t="n"/>
      <c r="K125" s="82" t="n"/>
      <c r="L125" s="82" t="n"/>
      <c r="M125" s="82" t="n"/>
      <c r="N125" s="82" t="n"/>
      <c r="O125" s="82" t="n"/>
      <c r="P125" s="82" t="n"/>
      <c r="Q125" s="82" t="n"/>
      <c r="R125" s="82" t="n"/>
    </row>
    <row r="126" ht="44" customHeight="1">
      <c r="A126" s="38">
        <f t="array" ref="A126">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_xlpm.テスト内容数（テスト内容が空の場合は1）, IF(_xlpm.テスト内容数=0,1,_xlpm.テスト内容数),
_xlpm.詳細項目数&amp;"-"&amp;_xlpm.観点数&amp;"-"&amp;_xlpm.テスト内容数（テスト内容が空の場合は1）
)</f>
        <v/>
      </c>
      <c r="B126" s="58" t="n"/>
      <c r="C126" s="52" t="n"/>
      <c r="D126" s="41" t="n"/>
      <c r="E126" s="41" t="n"/>
      <c r="F126" s="99" t="inlineStr">
        <is>
          <t>取り込まれたファイルがマルチレイアウトの場合、同一レコード種類のレコードが複数件存在する時の処理が［システム機能設計書/共通コンポーネント設計書の記載通りの挙動］であること。</t>
        </is>
      </c>
      <c r="G126" s="99" t="n"/>
      <c r="H126" s="99" t="n"/>
      <c r="I126" s="99" t="n"/>
      <c r="J126" s="82" t="n"/>
      <c r="K126" s="82" t="n"/>
      <c r="L126" s="82" t="n"/>
      <c r="M126" s="82" t="n"/>
      <c r="N126" s="82" t="n"/>
      <c r="O126" s="82" t="n"/>
      <c r="P126" s="82" t="n"/>
      <c r="Q126" s="82" t="n"/>
      <c r="R126" s="82" t="n"/>
    </row>
    <row r="127" ht="44" customHeight="1">
      <c r="A127" s="38">
        <f t="array" ref="A127">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_xlpm.テスト内容数（テスト内容が空の場合は1）, IF(_xlpm.テスト内容数=0,1,_xlpm.テスト内容数),
_xlpm.詳細項目数&amp;"-"&amp;_xlpm.観点数&amp;"-"&amp;_xlpm.テスト内容数（テスト内容が空の場合は1）
)</f>
        <v/>
      </c>
      <c r="B127" s="58" t="n"/>
      <c r="C127" s="52" t="n"/>
      <c r="D127" s="41" t="n"/>
      <c r="E127" s="41" t="n"/>
      <c r="F127" s="99" t="inlineStr">
        <is>
          <t>取り込まれたファイルがマルチレイアウトの場合、レコード種類のうちデータレコードにあたる件数が0件の時、［システム機能設計書/共通コンポーネント設計書の記載通りの挙動］であること。</t>
        </is>
      </c>
      <c r="G127" s="99" t="n"/>
      <c r="H127" s="99" t="n"/>
      <c r="I127" s="99" t="n"/>
      <c r="J127" s="82" t="n"/>
      <c r="K127" s="82" t="n"/>
      <c r="L127" s="82" t="n"/>
      <c r="M127" s="82" t="n"/>
      <c r="N127" s="82" t="n"/>
      <c r="O127" s="82" t="n"/>
      <c r="P127" s="82" t="n"/>
      <c r="Q127" s="82" t="n"/>
      <c r="R127" s="82" t="n"/>
    </row>
    <row r="128" ht="33" customHeight="1">
      <c r="A128" s="38">
        <f t="array" ref="A128">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_xlpm.テスト内容数（テスト内容が空の場合は1）, IF(_xlpm.テスト内容数=0,1,_xlpm.テスト内容数),
_xlpm.詳細項目数&amp;"-"&amp;_xlpm.観点数&amp;"-"&amp;_xlpm.テスト内容数（テスト内容が空の場合は1）
)</f>
        <v/>
      </c>
      <c r="B128" s="58" t="n"/>
      <c r="C128" s="52" t="n"/>
      <c r="D128" s="41" t="n"/>
      <c r="E128" s="50" t="n"/>
      <c r="F128" s="99" t="inlineStr">
        <is>
          <t>取り込まれたファイルがマルチレイアウトの場合、全レコード種類が含まれる時の処理が［システム機能設計書/共通コンポーネント設計書の記載通りの挙動］であること。</t>
        </is>
      </c>
      <c r="G128" s="99" t="n"/>
      <c r="H128" s="99" t="n"/>
      <c r="I128" s="99" t="n"/>
      <c r="J128" s="82" t="n"/>
      <c r="K128" s="82" t="n"/>
      <c r="L128" s="82" t="n"/>
      <c r="M128" s="82" t="n"/>
      <c r="N128" s="82" t="n"/>
      <c r="O128" s="82" t="n"/>
      <c r="P128" s="82" t="n"/>
      <c r="Q128" s="82" t="n"/>
      <c r="R128" s="82" t="n"/>
    </row>
    <row r="129" ht="33" customHeight="1">
      <c r="A129" s="38">
        <f t="array" ref="A129">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_xlpm.テスト内容数（テスト内容が空の場合は1）, IF(_xlpm.テスト内容数=0,1,_xlpm.テスト内容数),
_xlpm.詳細項目数&amp;"-"&amp;_xlpm.観点数&amp;"-"&amp;_xlpm.テスト内容数（テスト内容が空の場合は1）
)</f>
        <v/>
      </c>
      <c r="B129" s="58" t="n"/>
      <c r="C129" s="52" t="n"/>
      <c r="D129" s="50" t="n"/>
      <c r="E129" s="50" t="inlineStr">
        <is>
          <t>インターフェース仕様</t>
        </is>
      </c>
      <c r="F129" s="99" t="inlineStr">
        <is>
          <t>インターフェース仕様が設計と異なるファイルを取り込んだ場合、実行結果が［方式設計書の記載通り］となること。</t>
        </is>
      </c>
      <c r="G129" s="99" t="n"/>
      <c r="H129" s="99" t="n"/>
      <c r="I129" s="99" t="n"/>
      <c r="J129" s="82" t="n"/>
      <c r="K129" s="82" t="n"/>
      <c r="L129" s="82" t="n"/>
      <c r="M129" s="82" t="n"/>
      <c r="N129" s="82" t="n"/>
      <c r="O129" s="82" t="n"/>
      <c r="P129" s="82" t="n"/>
      <c r="Q129" s="82" t="n"/>
      <c r="R129" s="82" t="n"/>
    </row>
    <row r="130" ht="33" customHeight="1">
      <c r="A130" s="38">
        <f t="array" ref="A130">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_xlpm.テスト内容数（テスト内容が空の場合は1）, IF(_xlpm.テスト内容数=0,1,_xlpm.テスト内容数),
_xlpm.詳細項目数&amp;"-"&amp;_xlpm.観点数&amp;"-"&amp;_xlpm.テスト内容数（テスト内容が空の場合は1）
)</f>
        <v/>
      </c>
      <c r="B130" s="58" t="n"/>
      <c r="C130" s="49" t="n"/>
      <c r="D130" s="50" t="inlineStr">
        <is>
          <t>エラー</t>
        </is>
      </c>
      <c r="E130" s="50" t="inlineStr">
        <is>
          <t>-</t>
        </is>
      </c>
      <c r="F130" s="99" t="inlineStr">
        <is>
          <t>エラーが発生した場合、取込対象のファイルの状態が［システム機能設計書/共通コンポーネント設計書の記載通り］であること。</t>
        </is>
      </c>
      <c r="G130" s="99" t="n"/>
      <c r="H130" s="99" t="n"/>
      <c r="I130" s="99" t="n"/>
      <c r="J130" s="82" t="n"/>
      <c r="K130" s="82" t="n"/>
      <c r="L130" s="82" t="n"/>
      <c r="M130" s="82" t="n"/>
      <c r="N130" s="82" t="n"/>
      <c r="O130" s="82" t="n"/>
      <c r="P130" s="82" t="n"/>
      <c r="Q130" s="82" t="n"/>
      <c r="R130" s="82" t="n"/>
    </row>
    <row r="131" ht="33" customHeight="1">
      <c r="A131" s="38">
        <f t="array" ref="A13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_xlpm.テスト内容数（テスト内容が空の場合は1）, IF(_xlpm.テスト内容数=0,1,_xlpm.テスト内容数),
_xlpm.詳細項目数&amp;"-"&amp;_xlpm.観点数&amp;"-"&amp;_xlpm.テスト内容数（テスト内容が空の場合は1）
)</f>
        <v/>
      </c>
      <c r="B131" s="58" t="n"/>
      <c r="C131" s="41" t="inlineStr">
        <is>
          <t>バリデーション</t>
        </is>
      </c>
      <c r="D131" s="41" t="inlineStr">
        <is>
          <t>フォーマット定義</t>
        </is>
      </c>
      <c r="E131" s="99" t="inlineStr">
        <is>
          <t>レコード構成</t>
        </is>
      </c>
      <c r="F131" s="99" t="inlineStr">
        <is>
          <t>取り込まれたファイルがマルチレイアウトの場合、全レコード種類の構成が［外部インターフェース設計書/サブシステムインターフェース設計書の記載通り］であること。</t>
        </is>
      </c>
      <c r="G131" s="99" t="n"/>
      <c r="H131" s="99" t="n"/>
      <c r="I131" s="99" t="n"/>
      <c r="J131" s="82" t="n"/>
      <c r="K131" s="82" t="n"/>
      <c r="L131" s="82" t="n"/>
      <c r="M131" s="82" t="n"/>
      <c r="N131" s="82" t="n"/>
      <c r="O131" s="82" t="n"/>
      <c r="P131" s="82" t="n"/>
      <c r="Q131" s="82" t="n"/>
      <c r="R131" s="82" t="n"/>
    </row>
    <row r="132" ht="22" customHeight="1">
      <c r="A132" s="38">
        <f t="array" ref="A132">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_xlpm.テスト内容数（テスト内容が空の場合は1）, IF(_xlpm.テスト内容数=0,1,_xlpm.テスト内容数),
_xlpm.詳細項目数&amp;"-"&amp;_xlpm.観点数&amp;"-"&amp;_xlpm.テスト内容数（テスト内容が空の場合は1）
)</f>
        <v/>
      </c>
      <c r="B132" s="58" t="n"/>
      <c r="C132" s="41" t="n"/>
      <c r="D132" s="41" t="n"/>
      <c r="E132" s="41" t="inlineStr">
        <is>
          <t>ファイルサイズ</t>
        </is>
      </c>
      <c r="F132" s="99" t="inlineStr">
        <is>
          <t>取り込まれたファイルのサイズをバリデーションする場合、有効なサイズのファイルがエラーとならないこと。</t>
        </is>
      </c>
      <c r="G132" s="99" t="n"/>
      <c r="H132" s="99" t="n"/>
      <c r="I132" s="99" t="n"/>
      <c r="J132" s="82" t="n"/>
      <c r="K132" s="82" t="n"/>
      <c r="L132" s="82" t="n"/>
      <c r="M132" s="82" t="n"/>
      <c r="N132" s="82" t="n"/>
      <c r="O132" s="82" t="n"/>
      <c r="P132" s="82" t="n"/>
      <c r="Q132" s="82" t="n"/>
      <c r="R132" s="82" t="n"/>
    </row>
    <row r="133" ht="22" customHeight="1">
      <c r="A133" s="38">
        <f t="array" ref="A133">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_xlpm.テスト内容数（テスト内容が空の場合は1）, IF(_xlpm.テスト内容数=0,1,_xlpm.テスト内容数),
_xlpm.詳細項目数&amp;"-"&amp;_xlpm.観点数&amp;"-"&amp;_xlpm.テスト内容数（テスト内容が空の場合は1）
)</f>
        <v/>
      </c>
      <c r="B133" s="58" t="n"/>
      <c r="C133" s="41" t="n"/>
      <c r="D133" s="41" t="n"/>
      <c r="E133" s="41" t="n"/>
      <c r="F133" s="99" t="inlineStr">
        <is>
          <t>取り込まれたファイルのサイズバリデーションする場合、無効なサイズのファイルがエラーとなること。</t>
        </is>
      </c>
      <c r="G133" s="99" t="n"/>
      <c r="H133" s="99" t="n"/>
      <c r="I133" s="99" t="n"/>
      <c r="J133" s="82" t="n"/>
      <c r="K133" s="82" t="n"/>
      <c r="L133" s="82" t="n"/>
      <c r="M133" s="82" t="n"/>
      <c r="N133" s="82" t="n"/>
      <c r="O133" s="82" t="n"/>
      <c r="P133" s="82" t="n"/>
      <c r="Q133" s="82" t="n"/>
      <c r="R133" s="82" t="n"/>
    </row>
    <row r="134" ht="44" customHeight="1">
      <c r="A134" s="38">
        <f t="array" ref="A134">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_xlpm.テスト内容数（テスト内容が空の場合は1）, IF(_xlpm.テスト内容数=0,1,_xlpm.テスト内容数),
_xlpm.詳細項目数&amp;"-"&amp;_xlpm.観点数&amp;"-"&amp;_xlpm.テスト内容数（テスト内容が空の場合は1）
)</f>
        <v/>
      </c>
      <c r="B134" s="286" t="n"/>
      <c r="C134" s="50" t="n"/>
      <c r="D134" s="50" t="n"/>
      <c r="E134" s="50" t="n"/>
      <c r="F134" s="99" t="inlineStr">
        <is>
          <t>取り込まれたファイルのサイズをバリデーションしない場合、想定以上のサイズのファイル取込結果が［システム機能設計書/共通コンポーネント設計書の記載通り］であること。</t>
        </is>
      </c>
      <c r="G134" s="99" t="n"/>
      <c r="H134" s="99" t="n"/>
      <c r="I134" s="99" t="n"/>
      <c r="J134" s="82" t="n"/>
      <c r="K134" s="82" t="n"/>
      <c r="L134" s="82" t="n"/>
      <c r="M134" s="82" t="n"/>
      <c r="N134" s="82" t="n"/>
      <c r="O134" s="82" t="n"/>
      <c r="P134" s="82" t="n"/>
      <c r="Q134" s="82" t="n"/>
      <c r="R134" s="82" t="n"/>
    </row>
    <row r="135" ht="22" customHeight="1">
      <c r="A135" s="38">
        <f t="array" ref="A135">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_xlpm.テスト内容数（テスト内容が空の場合は1）, IF(_xlpm.テスト内容数=0,1,_xlpm.テスト内容数),
_xlpm.詳細項目数&amp;"-"&amp;_xlpm.観点数&amp;"-"&amp;_xlpm.テスト内容数（テスト内容が空の場合は1）
)</f>
        <v/>
      </c>
      <c r="B135" s="39" t="inlineStr">
        <is>
          <t>ファイル出力</t>
        </is>
      </c>
      <c r="C135" s="40" t="inlineStr">
        <is>
          <t>実行結果</t>
        </is>
      </c>
      <c r="D135" s="40" t="inlineStr">
        <is>
          <t>-</t>
        </is>
      </c>
      <c r="E135" s="39" t="inlineStr">
        <is>
          <t>-</t>
        </is>
      </c>
      <c r="F135" s="99" t="inlineStr">
        <is>
          <t>出力したファイルが、指定したディレクトリに格納されること。</t>
        </is>
      </c>
      <c r="G135" s="99" t="n"/>
      <c r="H135" s="99" t="n"/>
      <c r="I135" s="99" t="n"/>
      <c r="J135" s="82" t="n"/>
      <c r="K135" s="82" t="n"/>
      <c r="L135" s="82" t="n"/>
      <c r="M135" s="82" t="n"/>
      <c r="N135" s="82" t="n"/>
      <c r="O135" s="82" t="n"/>
      <c r="P135" s="82" t="n"/>
      <c r="Q135" s="82" t="n"/>
      <c r="R135" s="82" t="n"/>
    </row>
    <row r="136" ht="33" customHeight="1">
      <c r="A136" s="38">
        <f t="array" ref="A136">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_xlpm.テスト内容数（テスト内容が空の場合は1）, IF(_xlpm.テスト内容数=0,1,_xlpm.テスト内容数),
_xlpm.詳細項目数&amp;"-"&amp;_xlpm.観点数&amp;"-"&amp;_xlpm.テスト内容数（テスト内容が空の場合は1）
)</f>
        <v/>
      </c>
      <c r="B136" s="41" t="inlineStr">
        <is>
          <t>※ファイルダウンロードを含む</t>
        </is>
      </c>
      <c r="C136" s="52" t="n"/>
      <c r="D136" s="41" t="n"/>
      <c r="E136" s="41" t="n"/>
      <c r="F136" s="99" t="inlineStr">
        <is>
          <t>出力したファイルが、指定したファイル名で格納されること。</t>
        </is>
      </c>
      <c r="G136" s="99" t="n"/>
      <c r="H136" s="99" t="n"/>
      <c r="I136" s="99" t="n"/>
      <c r="J136" s="82" t="n"/>
      <c r="K136" s="82" t="n"/>
      <c r="L136" s="82" t="n"/>
      <c r="M136" s="82" t="n"/>
      <c r="N136" s="82" t="n"/>
      <c r="O136" s="82" t="n"/>
      <c r="P136" s="82" t="n"/>
      <c r="Q136" s="82" t="n"/>
      <c r="R136" s="82" t="n"/>
    </row>
    <row r="137" ht="33" customHeight="1">
      <c r="A137" s="38">
        <f t="array" ref="A137">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_xlpm.テスト内容数（テスト内容が空の場合は1）, IF(_xlpm.テスト内容数=0,1,_xlpm.テスト内容数),
_xlpm.詳細項目数&amp;"-"&amp;_xlpm.観点数&amp;"-"&amp;_xlpm.テスト内容数（テスト内容が空の場合は1）
)</f>
        <v/>
      </c>
      <c r="B137" s="285" t="n"/>
      <c r="C137" s="52" t="n"/>
      <c r="D137" s="41" t="n"/>
      <c r="E137" s="41" t="n"/>
      <c r="F137" s="99" t="inlineStr">
        <is>
          <t>出力したファイルのアクセス権限が［システム機能設計書/共通コンポーネント設計書の記載通り］であること。</t>
        </is>
      </c>
      <c r="G137" s="99" t="n"/>
      <c r="H137" s="99" t="n"/>
      <c r="I137" s="99" t="n"/>
      <c r="J137" s="82" t="n"/>
      <c r="K137" s="82" t="n"/>
      <c r="L137" s="82" t="n"/>
      <c r="M137" s="82" t="n"/>
      <c r="N137" s="82" t="n"/>
      <c r="O137" s="82" t="n"/>
      <c r="P137" s="82" t="n"/>
      <c r="Q137" s="82" t="n"/>
      <c r="R137" s="82" t="n"/>
    </row>
    <row r="138" ht="33" customHeight="1">
      <c r="A138" s="38">
        <f t="array" ref="A138">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_xlpm.テスト内容数（テスト内容が空の場合は1）, IF(_xlpm.テスト内容数=0,1,_xlpm.テスト内容数),
_xlpm.詳細項目数&amp;"-"&amp;_xlpm.観点数&amp;"-"&amp;_xlpm.テスト内容数（テスト内容が空の場合は1）
)</f>
        <v/>
      </c>
      <c r="B138" s="58" t="n"/>
      <c r="C138" s="52" t="n"/>
      <c r="D138" s="41" t="n"/>
      <c r="E138" s="50" t="n"/>
      <c r="F138" s="99" t="inlineStr">
        <is>
          <t>出力したファイルの所有権が［システム機能設計書/共通コンポーネント設計書の記載通り］であること。</t>
        </is>
      </c>
      <c r="G138" s="99" t="n"/>
      <c r="H138" s="99" t="n"/>
      <c r="I138" s="99" t="n"/>
      <c r="J138" s="82" t="n"/>
      <c r="K138" s="82" t="n"/>
      <c r="L138" s="82" t="n"/>
      <c r="M138" s="82" t="n"/>
      <c r="N138" s="82" t="n"/>
      <c r="O138" s="82" t="n"/>
      <c r="P138" s="82" t="n"/>
      <c r="Q138" s="82" t="n"/>
      <c r="R138" s="82" t="n"/>
    </row>
    <row r="139" ht="22" customHeight="1">
      <c r="A139" s="38">
        <f t="array" ref="A139">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_xlpm.テスト内容数（テスト内容が空の場合は1）, IF(_xlpm.テスト内容数=0,1,_xlpm.テスト内容数),
_xlpm.詳細項目数&amp;"-"&amp;_xlpm.観点数&amp;"-"&amp;_xlpm.テスト内容数（テスト内容が空の場合は1）
)</f>
        <v/>
      </c>
      <c r="B139" s="58" t="n"/>
      <c r="C139" s="52" t="n"/>
      <c r="D139" s="41" t="n"/>
      <c r="E139" s="41" t="inlineStr">
        <is>
          <t>ファイル名</t>
        </is>
      </c>
      <c r="F139" s="99" t="inlineStr">
        <is>
          <t>ファイル保存先を指定するダイアログボックスにデフォルトファイル名が表示されること。</t>
        </is>
      </c>
      <c r="G139" s="99" t="n"/>
      <c r="H139" s="99" t="n"/>
      <c r="I139" s="99" t="n"/>
      <c r="J139" s="82" t="n"/>
      <c r="K139" s="82" t="n"/>
      <c r="L139" s="82" t="n"/>
      <c r="M139" s="82" t="n"/>
      <c r="N139" s="82" t="n"/>
      <c r="O139" s="82" t="n"/>
      <c r="P139" s="82" t="n"/>
      <c r="Q139" s="82" t="n"/>
      <c r="R139" s="82" t="n"/>
    </row>
    <row r="140" ht="33" customHeight="1">
      <c r="A140" s="38">
        <f t="array" ref="A140">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_xlpm.テスト内容数（テスト内容が空の場合は1）, IF(_xlpm.テスト内容数=0,1,_xlpm.テスト内容数),
_xlpm.詳細項目数&amp;"-"&amp;_xlpm.観点数&amp;"-"&amp;_xlpm.テスト内容数（テスト内容が空の場合は1）
)</f>
        <v/>
      </c>
      <c r="B140" s="58" t="n"/>
      <c r="C140" s="52" t="n"/>
      <c r="D140" s="50" t="n"/>
      <c r="E140" s="50" t="n"/>
      <c r="F140" s="99" t="inlineStr">
        <is>
          <t>ダウンロード先ディレクトリに同名ファイルが存在する場合、［システム機能設計書/共通コンポーネント設計書の記載通りの挙動］となること。</t>
        </is>
      </c>
      <c r="G140" s="99" t="n"/>
      <c r="H140" s="99" t="n"/>
      <c r="I140" s="99" t="n"/>
      <c r="J140" s="82" t="n"/>
      <c r="K140" s="82" t="n"/>
      <c r="L140" s="82" t="n"/>
      <c r="M140" s="82" t="n"/>
      <c r="N140" s="82" t="n"/>
      <c r="O140" s="82" t="n"/>
      <c r="P140" s="82" t="n"/>
      <c r="Q140" s="82" t="n"/>
      <c r="R140" s="82" t="n"/>
    </row>
    <row r="141" ht="33" customHeight="1">
      <c r="A141" s="38">
        <f t="array" ref="A14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_xlpm.テスト内容数（テスト内容が空の場合は1）, IF(_xlpm.テスト内容数=0,1,_xlpm.テスト内容数),
_xlpm.詳細項目数&amp;"-"&amp;_xlpm.観点数&amp;"-"&amp;_xlpm.テスト内容数（テスト内容が空の場合は1）
)</f>
        <v/>
      </c>
      <c r="B141" s="58" t="n"/>
      <c r="C141" s="49" t="n"/>
      <c r="D141" s="50" t="inlineStr">
        <is>
          <t>エラー</t>
        </is>
      </c>
      <c r="E141" s="50" t="inlineStr">
        <is>
          <t>-</t>
        </is>
      </c>
      <c r="F141" s="99" t="inlineStr">
        <is>
          <t>エラーが発生した場合、出力対象のファイルの状態が［システム機能設計書/共通コンポーネント設計書の記載通り］であること。</t>
        </is>
      </c>
      <c r="G141" s="99" t="n"/>
      <c r="H141" s="99" t="n"/>
      <c r="I141" s="99" t="n"/>
      <c r="J141" s="82" t="n"/>
      <c r="K141" s="82" t="n"/>
      <c r="L141" s="82" t="n"/>
      <c r="M141" s="82" t="n"/>
      <c r="N141" s="82" t="n"/>
      <c r="O141" s="82" t="n"/>
      <c r="P141" s="82" t="n"/>
      <c r="Q141" s="82" t="n"/>
      <c r="R141" s="82" t="n"/>
    </row>
    <row r="142" ht="33" customHeight="1">
      <c r="A142" s="38">
        <f t="array" ref="A142">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_xlpm.テスト内容数（テスト内容が空の場合は1）, IF(_xlpm.テスト内容数=0,1,_xlpm.テスト内容数),
_xlpm.詳細項目数&amp;"-"&amp;_xlpm.観点数&amp;"-"&amp;_xlpm.テスト内容数（テスト内容が空の場合は1）
)</f>
        <v/>
      </c>
      <c r="B142" s="58" t="n"/>
      <c r="C142" s="52" t="inlineStr">
        <is>
          <t>データ出力</t>
        </is>
      </c>
      <c r="D142" s="41" t="inlineStr">
        <is>
          <t>フォーマット定義</t>
        </is>
      </c>
      <c r="E142" s="99" t="inlineStr">
        <is>
          <t>文字コード</t>
        </is>
      </c>
      <c r="F142" s="99" t="inlineStr">
        <is>
          <t>出力したファイルの文字コードが［外部インターフェース設計書/サブシステムインターフェース設計書の記載通り］であること。</t>
        </is>
      </c>
      <c r="G142" s="99" t="n"/>
      <c r="H142" s="99" t="n"/>
      <c r="I142" s="99" t="n"/>
      <c r="J142" s="82" t="n"/>
      <c r="K142" s="82" t="n"/>
      <c r="L142" s="82" t="n"/>
      <c r="M142" s="82" t="n"/>
      <c r="N142" s="82" t="n"/>
      <c r="O142" s="82" t="n"/>
      <c r="P142" s="82" t="n"/>
      <c r="Q142" s="82" t="n"/>
      <c r="R142" s="82" t="n"/>
    </row>
    <row r="143" ht="33" customHeight="1">
      <c r="A143" s="38">
        <f t="array" ref="A143">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_xlpm.テスト内容数（テスト内容が空の場合は1）, IF(_xlpm.テスト内容数=0,1,_xlpm.テスト内容数),
_xlpm.詳細項目数&amp;"-"&amp;_xlpm.観点数&amp;"-"&amp;_xlpm.テスト内容数（テスト内容が空の場合は1）
)</f>
        <v/>
      </c>
      <c r="B143" s="58" t="n"/>
      <c r="C143" s="52" t="n"/>
      <c r="D143" s="41" t="n"/>
      <c r="E143" s="99" t="inlineStr">
        <is>
          <t>改行コード</t>
        </is>
      </c>
      <c r="F143" s="99" t="inlineStr">
        <is>
          <t>出力したファイルの改行コードが［外部インターフェース設計書/サブシステムインターフェース設計書の記載通り］であること。</t>
        </is>
      </c>
      <c r="G143" s="99" t="n"/>
      <c r="H143" s="99" t="n"/>
      <c r="I143" s="99" t="n"/>
      <c r="J143" s="82" t="n"/>
      <c r="K143" s="82" t="n"/>
      <c r="L143" s="82" t="n"/>
      <c r="M143" s="82" t="n"/>
      <c r="N143" s="82" t="n"/>
      <c r="O143" s="82" t="n"/>
      <c r="P143" s="82" t="n"/>
      <c r="Q143" s="82" t="n"/>
      <c r="R143" s="82" t="n"/>
    </row>
    <row r="144" ht="33" customHeight="1">
      <c r="A144" s="38">
        <f t="array" ref="A144">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_xlpm.テスト内容数（テスト内容が空の場合は1）, IF(_xlpm.テスト内容数=0,1,_xlpm.テスト内容数),
_xlpm.詳細項目数&amp;"-"&amp;_xlpm.観点数&amp;"-"&amp;_xlpm.テスト内容数（テスト内容が空の場合は1）
)</f>
        <v/>
      </c>
      <c r="B144" s="58" t="n"/>
      <c r="C144" s="52" t="n"/>
      <c r="D144" s="41" t="n"/>
      <c r="E144" s="99" t="inlineStr">
        <is>
          <t>区切り文字</t>
        </is>
      </c>
      <c r="F144" s="99" t="inlineStr">
        <is>
          <t>出力したファイルの区切り文字が［外部インターフェース設計書/サブシステムインターフェース設計書の記載通り］であること。</t>
        </is>
      </c>
      <c r="G144" s="99" t="n"/>
      <c r="H144" s="99" t="n"/>
      <c r="I144" s="99" t="n"/>
      <c r="J144" s="82" t="n"/>
      <c r="K144" s="82" t="n"/>
      <c r="L144" s="82" t="n"/>
      <c r="M144" s="82" t="n"/>
      <c r="N144" s="82" t="n"/>
      <c r="O144" s="82" t="n"/>
      <c r="P144" s="82" t="n"/>
      <c r="Q144" s="82" t="n"/>
      <c r="R144" s="82" t="n"/>
    </row>
    <row r="145" ht="33" customHeight="1">
      <c r="A145" s="38">
        <f t="array" ref="A145">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_xlpm.テスト内容数（テスト内容が空の場合は1）, IF(_xlpm.テスト内容数=0,1,_xlpm.テスト内容数),
_xlpm.詳細項目数&amp;"-"&amp;_xlpm.観点数&amp;"-"&amp;_xlpm.テスト内容数（テスト内容が空の場合は1）
)</f>
        <v/>
      </c>
      <c r="B145" s="58" t="n"/>
      <c r="C145" s="52" t="n"/>
      <c r="D145" s="41" t="n"/>
      <c r="E145" s="99" t="inlineStr">
        <is>
          <t>レコード構成</t>
        </is>
      </c>
      <c r="F145" s="99" t="inlineStr">
        <is>
          <t>出力したファイルがマルチレイアウトの場合、レコード構成が［外部インターフェース設計書/サブシステムインターフェース設計書の記載通り］であること。</t>
        </is>
      </c>
      <c r="G145" s="99" t="n"/>
      <c r="H145" s="99" t="n"/>
      <c r="I145" s="99" t="n"/>
      <c r="J145" s="82" t="n"/>
      <c r="K145" s="82" t="n"/>
      <c r="L145" s="82" t="n"/>
      <c r="M145" s="82" t="n"/>
      <c r="N145" s="82" t="n"/>
      <c r="O145" s="82" t="n"/>
      <c r="P145" s="82" t="n"/>
      <c r="Q145" s="82" t="n"/>
      <c r="R145" s="82" t="n"/>
    </row>
    <row r="146" ht="33" customHeight="1">
      <c r="A146" s="38">
        <f t="array" ref="A146">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_xlpm.テスト内容数（テスト内容が空の場合は1）, IF(_xlpm.テスト内容数=0,1,_xlpm.テスト内容数),
_xlpm.詳細項目数&amp;"-"&amp;_xlpm.観点数&amp;"-"&amp;_xlpm.テスト内容数（テスト内容が空の場合は1）
)</f>
        <v/>
      </c>
      <c r="B146" s="58" t="n"/>
      <c r="C146" s="52" t="n"/>
      <c r="D146" s="41" t="n"/>
      <c r="E146" s="99" t="inlineStr">
        <is>
          <t>ソート順</t>
        </is>
      </c>
      <c r="F146" s="99" t="inlineStr">
        <is>
          <t>出力したファイルの項目並び順が［外部インターフェース設計書/サブシステムインターフェース設計書/帳票設計書の記載通り］であること。</t>
        </is>
      </c>
      <c r="G146" s="99" t="n"/>
      <c r="H146" s="99" t="n"/>
      <c r="I146" s="99" t="n"/>
      <c r="J146" s="82" t="n"/>
      <c r="K146" s="82" t="n"/>
      <c r="L146" s="82" t="n"/>
      <c r="M146" s="82" t="n"/>
      <c r="N146" s="82" t="n"/>
      <c r="O146" s="82" t="n"/>
      <c r="P146" s="82" t="n"/>
      <c r="Q146" s="82" t="n"/>
      <c r="R146" s="82" t="n"/>
    </row>
    <row r="147" ht="22" customHeight="1">
      <c r="A147" s="38">
        <f t="array" ref="A147">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_xlpm.テスト内容数（テスト内容が空の場合は1）, IF(_xlpm.テスト内容数=0,1,_xlpm.テスト内容数),
_xlpm.詳細項目数&amp;"-"&amp;_xlpm.観点数&amp;"-"&amp;_xlpm.テスト内容数（テスト内容が空の場合は1）
)</f>
        <v/>
      </c>
      <c r="B147" s="58" t="n"/>
      <c r="C147" s="52" t="n"/>
      <c r="D147" s="41" t="n"/>
      <c r="E147" s="58" t="inlineStr">
        <is>
          <t>レイアウト</t>
        </is>
      </c>
      <c r="F147" s="99" t="inlineStr">
        <is>
          <t>帳票の場合、出力したレイアウトが［帳票設計書の記載通り］であること。</t>
        </is>
      </c>
      <c r="G147" s="99" t="n"/>
      <c r="H147" s="99" t="n"/>
      <c r="I147" s="99" t="n"/>
      <c r="J147" s="82" t="n"/>
      <c r="K147" s="82" t="n"/>
      <c r="L147" s="82" t="n"/>
      <c r="M147" s="82" t="n"/>
      <c r="N147" s="82" t="n"/>
      <c r="O147" s="82" t="n"/>
      <c r="P147" s="82" t="n"/>
      <c r="Q147" s="82" t="n"/>
      <c r="R147" s="82" t="n"/>
    </row>
    <row r="148" ht="22" customHeight="1">
      <c r="A148" s="38">
        <f t="array" ref="A148">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_xlpm.テスト内容数（テスト内容が空の場合は1）, IF(_xlpm.テスト内容数=0,1,_xlpm.テスト内容数),
_xlpm.詳細項目数&amp;"-"&amp;_xlpm.観点数&amp;"-"&amp;_xlpm.テスト内容数（テスト内容が空の場合は1）
)</f>
        <v/>
      </c>
      <c r="B148" s="58" t="n"/>
      <c r="C148" s="52" t="n"/>
      <c r="D148" s="41" t="n"/>
      <c r="E148" s="58" t="n"/>
      <c r="F148" s="99" t="inlineStr">
        <is>
          <t>帳票の場合、値の出力形式が［帳票設計書の記載通り］であること。</t>
        </is>
      </c>
      <c r="G148" s="99" t="n"/>
      <c r="H148" s="99" t="n"/>
      <c r="I148" s="99" t="n"/>
      <c r="J148" s="82" t="n"/>
      <c r="K148" s="82" t="n"/>
      <c r="L148" s="82" t="n"/>
      <c r="M148" s="82" t="n"/>
      <c r="N148" s="82" t="n"/>
      <c r="O148" s="82" t="n"/>
      <c r="P148" s="82" t="n"/>
      <c r="Q148" s="82" t="n"/>
      <c r="R148" s="82" t="n"/>
    </row>
    <row r="149" ht="22" customHeight="1">
      <c r="A149" s="38">
        <f t="array" ref="A149">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_xlpm.テスト内容数（テスト内容が空の場合は1）, IF(_xlpm.テスト内容数=0,1,_xlpm.テスト内容数),
_xlpm.詳細項目数&amp;"-"&amp;_xlpm.観点数&amp;"-"&amp;_xlpm.テスト内容数（テスト内容が空の場合は1）
)</f>
        <v/>
      </c>
      <c r="B149" s="58" t="n"/>
      <c r="C149" s="52" t="n"/>
      <c r="D149" s="41" t="n"/>
      <c r="E149" s="58" t="n"/>
      <c r="F149" s="99" t="inlineStr">
        <is>
          <t>帳票の場合、フォントの種類が［帳票設計書の記載通り］であること。</t>
        </is>
      </c>
      <c r="G149" s="99" t="n"/>
      <c r="H149" s="99" t="n"/>
      <c r="I149" s="99" t="n"/>
      <c r="J149" s="82" t="n"/>
      <c r="K149" s="82" t="n"/>
      <c r="L149" s="82" t="n"/>
      <c r="M149" s="82" t="n"/>
      <c r="N149" s="82" t="n"/>
      <c r="O149" s="82" t="n"/>
      <c r="P149" s="82" t="n"/>
      <c r="Q149" s="82" t="n"/>
      <c r="R149" s="82" t="n"/>
    </row>
    <row r="150" ht="22" customHeight="1">
      <c r="A150" s="38">
        <f t="array" ref="A150">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_xlpm.テスト内容数（テスト内容が空の場合は1）, IF(_xlpm.テスト内容数=0,1,_xlpm.テスト内容数),
_xlpm.詳細項目数&amp;"-"&amp;_xlpm.観点数&amp;"-"&amp;_xlpm.テスト内容数（テスト内容が空の場合は1）
)</f>
        <v/>
      </c>
      <c r="B150" s="58" t="n"/>
      <c r="C150" s="52" t="n"/>
      <c r="D150" s="41" t="n"/>
      <c r="E150" s="58" t="n"/>
      <c r="F150" s="99" t="inlineStr">
        <is>
          <t>帳票の場合、文字サイズが［帳票設計書の記載通り］であること。</t>
        </is>
      </c>
      <c r="G150" s="99" t="n"/>
      <c r="H150" s="99" t="n"/>
      <c r="I150" s="99" t="n"/>
      <c r="J150" s="82" t="n"/>
      <c r="K150" s="82" t="n"/>
      <c r="L150" s="82" t="n"/>
      <c r="M150" s="82" t="n"/>
      <c r="N150" s="82" t="n"/>
      <c r="O150" s="82" t="n"/>
      <c r="P150" s="82" t="n"/>
      <c r="Q150" s="82" t="n"/>
      <c r="R150" s="82" t="n"/>
    </row>
    <row r="151" ht="22" customHeight="1">
      <c r="A151" s="38">
        <f t="array" ref="A15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_xlpm.テスト内容数（テスト内容が空の場合は1）, IF(_xlpm.テスト内容数=0,1,_xlpm.テスト内容数),
_xlpm.詳細項目数&amp;"-"&amp;_xlpm.観点数&amp;"-"&amp;_xlpm.テスト内容数（テスト内容が空の場合は1）
)</f>
        <v/>
      </c>
      <c r="B151" s="58" t="n"/>
      <c r="C151" s="52" t="n"/>
      <c r="D151" s="41" t="n"/>
      <c r="E151" s="58" t="n"/>
      <c r="F151" s="99" t="inlineStr">
        <is>
          <t>帳票の場合、文字スタイル（太字斜体など）が［帳票設計書の記載通り］であること。</t>
        </is>
      </c>
      <c r="G151" s="99" t="n"/>
      <c r="H151" s="99" t="n"/>
      <c r="I151" s="99" t="n"/>
      <c r="J151" s="82" t="n"/>
      <c r="K151" s="82" t="n"/>
      <c r="L151" s="82" t="n"/>
      <c r="M151" s="82" t="n"/>
      <c r="N151" s="82" t="n"/>
      <c r="O151" s="82" t="n"/>
      <c r="P151" s="82" t="n"/>
      <c r="Q151" s="82" t="n"/>
      <c r="R151" s="82" t="n"/>
    </row>
    <row r="152" ht="22" customHeight="1">
      <c r="A152" s="38">
        <f t="array" ref="A152">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_xlpm.テスト内容数（テスト内容が空の場合は1）, IF(_xlpm.テスト内容数=0,1,_xlpm.テスト内容数),
_xlpm.詳細項目数&amp;"-"&amp;_xlpm.観点数&amp;"-"&amp;_xlpm.テスト内容数（テスト内容が空の場合は1）
)</f>
        <v/>
      </c>
      <c r="B152" s="58" t="n"/>
      <c r="C152" s="52" t="n"/>
      <c r="D152" s="50" t="n"/>
      <c r="E152" s="286" t="n"/>
      <c r="F152" s="99" t="inlineStr">
        <is>
          <t>帳票の場合、文字色が［帳票設計書の記載通り］であること。</t>
        </is>
      </c>
      <c r="G152" s="99" t="n"/>
      <c r="H152" s="99" t="n"/>
      <c r="I152" s="99" t="n"/>
      <c r="J152" s="82" t="n"/>
      <c r="K152" s="82" t="n"/>
      <c r="L152" s="82" t="n"/>
      <c r="M152" s="82" t="n"/>
      <c r="N152" s="82" t="n"/>
      <c r="O152" s="82" t="n"/>
      <c r="P152" s="82" t="n"/>
      <c r="Q152" s="82" t="n"/>
      <c r="R152" s="82" t="n"/>
    </row>
    <row r="153" ht="22" customHeight="1">
      <c r="A153" s="38">
        <f t="array" ref="A153">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_xlpm.テスト内容数（テスト内容が空の場合は1）, IF(_xlpm.テスト内容数=0,1,_xlpm.テスト内容数),
_xlpm.詳細項目数&amp;"-"&amp;_xlpm.観点数&amp;"-"&amp;_xlpm.テスト内容数（テスト内容が空の場合は1）
)</f>
        <v/>
      </c>
      <c r="B153" s="58" t="n"/>
      <c r="C153" s="52" t="n"/>
      <c r="D153" s="41" t="inlineStr">
        <is>
          <t>出力内容</t>
        </is>
      </c>
      <c r="E153" s="58" t="inlineStr">
        <is>
          <t>-</t>
        </is>
      </c>
      <c r="F153" s="99" t="inlineStr">
        <is>
          <t>出力したファイルに含まれる項目の値が、取得元と同値であること。</t>
        </is>
      </c>
      <c r="G153" s="99" t="n"/>
      <c r="H153" s="99" t="n"/>
      <c r="I153" s="99" t="n"/>
      <c r="J153" s="82" t="n"/>
      <c r="K153" s="82" t="n"/>
      <c r="L153" s="82" t="n"/>
      <c r="M153" s="82" t="n"/>
      <c r="N153" s="82" t="n"/>
      <c r="O153" s="82" t="n"/>
      <c r="P153" s="82" t="n"/>
      <c r="Q153" s="82" t="n"/>
      <c r="R153" s="82" t="n"/>
    </row>
    <row r="154" ht="22" customHeight="1">
      <c r="A154" s="38">
        <f t="array" ref="A154">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_xlpm.テスト内容数（テスト内容が空の場合は1）, IF(_xlpm.テスト内容数=0,1,_xlpm.テスト内容数),
_xlpm.詳細項目数&amp;"-"&amp;_xlpm.観点数&amp;"-"&amp;_xlpm.テスト内容数（テスト内容が空の場合は1）
)</f>
        <v/>
      </c>
      <c r="B154" s="58" t="n"/>
      <c r="C154" s="52" t="n"/>
      <c r="D154" s="41" t="n"/>
      <c r="E154" s="50" t="n"/>
      <c r="F154" s="99" t="inlineStr">
        <is>
          <t>デフォルト値を出力する項目の場合、デフォルト値が出力されること。</t>
        </is>
      </c>
      <c r="G154" s="99" t="n"/>
      <c r="H154" s="99" t="n"/>
      <c r="I154" s="99" t="n"/>
      <c r="J154" s="82" t="n"/>
      <c r="K154" s="82" t="n"/>
      <c r="L154" s="82" t="n"/>
      <c r="M154" s="82" t="n"/>
      <c r="N154" s="82" t="n"/>
      <c r="O154" s="82" t="n"/>
      <c r="P154" s="82" t="n"/>
      <c r="Q154" s="82" t="n"/>
      <c r="R154" s="82" t="n"/>
    </row>
    <row r="155" ht="33" customHeight="1">
      <c r="A155" s="38">
        <f t="array" ref="A155">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_xlpm.テスト内容数（テスト内容が空の場合は1）, IF(_xlpm.テスト内容数=0,1,_xlpm.テスト内容数),
_xlpm.詳細項目数&amp;"-"&amp;_xlpm.観点数&amp;"-"&amp;_xlpm.テスト内容数（テスト内容が空の場合は1）
)</f>
        <v/>
      </c>
      <c r="B155" s="58" t="n"/>
      <c r="C155" s="52" t="n"/>
      <c r="D155" s="41" t="n"/>
      <c r="E155" s="41" t="inlineStr">
        <is>
          <t>編集仕様</t>
        </is>
      </c>
      <c r="F155" s="99" t="inlineStr">
        <is>
          <t>取得した値を変換する設計となっている場合、出力された値が［システム機能設計書/共通コンポーネント設計書の記載通り］であること。</t>
        </is>
      </c>
      <c r="G155" s="99" t="n"/>
      <c r="H155" s="99" t="n"/>
      <c r="I155" s="99" t="n"/>
      <c r="J155" s="82" t="n"/>
      <c r="K155" s="82" t="n"/>
      <c r="L155" s="82" t="n"/>
      <c r="M155" s="82" t="n"/>
      <c r="N155" s="82" t="n"/>
      <c r="O155" s="82" t="n"/>
      <c r="P155" s="82" t="n"/>
      <c r="Q155" s="82" t="n"/>
      <c r="R155" s="82" t="n"/>
    </row>
    <row r="156" ht="33" customHeight="1">
      <c r="A156" s="38">
        <f t="array" ref="A156">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_xlpm.テスト内容数（テスト内容が空の場合は1）, IF(_xlpm.テスト内容数=0,1,_xlpm.テスト内容数),
_xlpm.詳細項目数&amp;"-"&amp;_xlpm.観点数&amp;"-"&amp;_xlpm.テスト内容数（テスト内容が空の場合は1）
)</f>
        <v/>
      </c>
      <c r="B156" s="58" t="n"/>
      <c r="C156" s="52" t="n"/>
      <c r="D156" s="41" t="n"/>
      <c r="E156" s="58" t="n"/>
      <c r="F156" s="99" t="inlineStr">
        <is>
          <t>取得した値を編集する処理が分岐する設計となっている場合、出力された値が［システム機能設計書/共通コンポーネント設計書の記載通り］であること。</t>
        </is>
      </c>
      <c r="G156" s="99" t="n"/>
      <c r="H156" s="99" t="n"/>
      <c r="I156" s="99" t="n"/>
      <c r="J156" s="82" t="n"/>
      <c r="K156" s="82" t="n"/>
      <c r="L156" s="82" t="n"/>
      <c r="M156" s="82" t="n"/>
      <c r="N156" s="82" t="n"/>
      <c r="O156" s="82" t="n"/>
      <c r="P156" s="82" t="n"/>
      <c r="Q156" s="82" t="n"/>
      <c r="R156" s="82" t="n"/>
    </row>
    <row r="157" ht="33" customHeight="1">
      <c r="A157" s="38">
        <f t="array" ref="A157">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_xlpm.テスト内容数（テスト内容が空の場合は1）, IF(_xlpm.テスト内容数=0,1,_xlpm.テスト内容数),
_xlpm.詳細項目数&amp;"-"&amp;_xlpm.観点数&amp;"-"&amp;_xlpm.テスト内容数（テスト内容が空の場合は1）
)</f>
        <v/>
      </c>
      <c r="B157" s="58" t="n"/>
      <c r="C157" s="52" t="n"/>
      <c r="D157" s="41" t="n"/>
      <c r="E157" s="58" t="n"/>
      <c r="F157" s="99" t="inlineStr">
        <is>
          <t>ループ処理によって、取得した値の編集を繰り返す設計となっている場合、出力された値が［システム機能設計書/共通コンポーネント設計書の記載通り］であること。</t>
        </is>
      </c>
      <c r="G157" s="99" t="n"/>
      <c r="H157" s="99" t="n"/>
      <c r="I157" s="99" t="n"/>
      <c r="J157" s="82" t="n"/>
      <c r="K157" s="82" t="n"/>
      <c r="L157" s="82" t="n"/>
      <c r="M157" s="82" t="n"/>
      <c r="N157" s="82" t="n"/>
      <c r="O157" s="82" t="n"/>
      <c r="P157" s="82" t="n"/>
      <c r="Q157" s="82" t="n"/>
      <c r="R157" s="82" t="n"/>
    </row>
    <row r="158" ht="33" customHeight="1">
      <c r="A158" s="38">
        <f t="array" ref="A158">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_xlpm.テスト内容数（テスト内容が空の場合は1）, IF(_xlpm.テスト内容数=0,1,_xlpm.テスト内容数),
_xlpm.詳細項目数&amp;"-"&amp;_xlpm.観点数&amp;"-"&amp;_xlpm.テスト内容数（テスト内容が空の場合は1）
)</f>
        <v/>
      </c>
      <c r="B158" s="58" t="n"/>
      <c r="C158" s="52" t="n"/>
      <c r="D158" s="41" t="n"/>
      <c r="E158" s="58" t="n"/>
      <c r="F158" s="99" t="inlineStr">
        <is>
          <t>取得した値を使用して計算する設計となっている場合、出力された値が［システム機能設計書/共通コンポーネント設計書の記載通り］であること。</t>
        </is>
      </c>
      <c r="G158" s="99" t="n"/>
      <c r="H158" s="99" t="n"/>
      <c r="I158" s="99" t="n"/>
      <c r="J158" s="82" t="n"/>
      <c r="K158" s="82" t="n"/>
      <c r="L158" s="82" t="n"/>
      <c r="M158" s="82" t="n"/>
      <c r="N158" s="82" t="n"/>
      <c r="O158" s="82" t="n"/>
      <c r="P158" s="82" t="n"/>
      <c r="Q158" s="82" t="n"/>
      <c r="R158" s="82" t="n"/>
    </row>
    <row r="159" ht="33" customHeight="1">
      <c r="A159" s="38">
        <f t="array" ref="A159">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_xlpm.テスト内容数（テスト内容が空の場合は1）, IF(_xlpm.テスト内容数=0,1,_xlpm.テスト内容数),
_xlpm.詳細項目数&amp;"-"&amp;_xlpm.観点数&amp;"-"&amp;_xlpm.テスト内容数（テスト内容が空の場合は1）
)</f>
        <v/>
      </c>
      <c r="B159" s="58" t="n"/>
      <c r="C159" s="52" t="n"/>
      <c r="D159" s="41" t="n"/>
      <c r="E159" s="58" t="n"/>
      <c r="F159" s="99" t="inlineStr">
        <is>
          <t>取得した値を連結する設計となっている場合、出力された値が［システム機能設計書/共通コンポーネント設計書の記載通り］であること。</t>
        </is>
      </c>
      <c r="G159" s="99" t="n"/>
      <c r="H159" s="99" t="n"/>
      <c r="I159" s="99" t="n"/>
      <c r="J159" s="82" t="n"/>
      <c r="K159" s="82" t="n"/>
      <c r="L159" s="82" t="n"/>
      <c r="M159" s="82" t="n"/>
      <c r="N159" s="82" t="n"/>
      <c r="O159" s="82" t="n"/>
      <c r="P159" s="82" t="n"/>
      <c r="Q159" s="82" t="n"/>
      <c r="R159" s="82" t="n"/>
    </row>
    <row r="160" ht="22" customHeight="1">
      <c r="A160" s="38">
        <f t="array" ref="A160">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_xlpm.テスト内容数（テスト内容が空の場合は1）, IF(_xlpm.テスト内容数=0,1,_xlpm.テスト内容数),
_xlpm.詳細項目数&amp;"-"&amp;_xlpm.観点数&amp;"-"&amp;_xlpm.テスト内容数（テスト内容が空の場合は1）
)</f>
        <v/>
      </c>
      <c r="B160" s="58" t="n"/>
      <c r="C160" s="52" t="n"/>
      <c r="D160" s="41" t="n"/>
      <c r="E160" s="58" t="n"/>
      <c r="F160" s="99" t="inlineStr">
        <is>
          <t>取得した値を暗号化する設計となっている場合、出力された値が暗号化されること。</t>
        </is>
      </c>
      <c r="G160" s="99" t="n"/>
      <c r="H160" s="99" t="n"/>
      <c r="I160" s="99" t="n"/>
      <c r="J160" s="82" t="n"/>
      <c r="K160" s="82" t="n"/>
      <c r="L160" s="82" t="n"/>
      <c r="M160" s="82" t="n"/>
      <c r="N160" s="82" t="n"/>
      <c r="O160" s="82" t="n"/>
      <c r="P160" s="82" t="n"/>
      <c r="Q160" s="82" t="n"/>
      <c r="R160" s="82" t="n"/>
    </row>
    <row r="161" ht="22" customHeight="1">
      <c r="A161" s="38">
        <f t="array" ref="A16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_xlpm.テスト内容数（テスト内容が空の場合は1）, IF(_xlpm.テスト内容数=0,1,_xlpm.テスト内容数),
_xlpm.詳細項目数&amp;"-"&amp;_xlpm.観点数&amp;"-"&amp;_xlpm.テスト内容数（テスト内容が空の場合は1）
)</f>
        <v/>
      </c>
      <c r="B161" s="58" t="n"/>
      <c r="C161" s="52" t="n"/>
      <c r="D161" s="41" t="n"/>
      <c r="E161" s="58" t="n"/>
      <c r="F161" s="99" t="inlineStr">
        <is>
          <t>取得した値をマスキングする設計となっている場合、出力された値がマスキングされること。</t>
        </is>
      </c>
      <c r="G161" s="99" t="n"/>
      <c r="H161" s="99" t="n"/>
      <c r="I161" s="99" t="n"/>
      <c r="J161" s="82" t="n"/>
      <c r="K161" s="82" t="n"/>
      <c r="L161" s="82" t="n"/>
      <c r="M161" s="82" t="n"/>
      <c r="N161" s="82" t="n"/>
      <c r="O161" s="82" t="n"/>
      <c r="P161" s="82" t="n"/>
      <c r="Q161" s="82" t="n"/>
      <c r="R161" s="82" t="n"/>
    </row>
    <row r="162" ht="33" customHeight="1">
      <c r="A162" s="38">
        <f t="array" ref="A162">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_xlpm.テスト内容数（テスト内容が空の場合は1）, IF(_xlpm.テスト内容数=0,1,_xlpm.テスト内容数),
_xlpm.詳細項目数&amp;"-"&amp;_xlpm.観点数&amp;"-"&amp;_xlpm.テスト内容数（テスト内容が空の場合は1）
)</f>
        <v/>
      </c>
      <c r="B162" s="58" t="n"/>
      <c r="C162" s="52" t="n"/>
      <c r="D162" s="41" t="n"/>
      <c r="E162" s="58" t="n"/>
      <c r="F162" s="99" t="inlineStr">
        <is>
          <t>取得した値に改行、タブ、メタキャラクタが含まれる場合、出力された値がエンコーディング、サニタイジングされること。</t>
        </is>
      </c>
      <c r="G162" s="99" t="n"/>
      <c r="H162" s="99" t="n"/>
      <c r="I162" s="99" t="n"/>
      <c r="J162" s="82" t="n"/>
      <c r="K162" s="82" t="n"/>
      <c r="L162" s="82" t="n"/>
      <c r="M162" s="82" t="n"/>
      <c r="N162" s="82" t="n"/>
      <c r="O162" s="82" t="n"/>
      <c r="P162" s="82" t="n"/>
      <c r="Q162" s="82" t="n"/>
      <c r="R162" s="82" t="n"/>
    </row>
    <row r="163" ht="33" customHeight="1">
      <c r="A163" s="38">
        <f t="array" ref="A163">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_xlpm.テスト内容数（テスト内容が空の場合は1）, IF(_xlpm.テスト内容数=0,1,_xlpm.テスト内容数),
_xlpm.詳細項目数&amp;"-"&amp;_xlpm.観点数&amp;"-"&amp;_xlpm.テスト内容数（テスト内容が空の場合は1）
)</f>
        <v/>
      </c>
      <c r="B163" s="58" t="n"/>
      <c r="C163" s="52" t="n"/>
      <c r="D163" s="41" t="n"/>
      <c r="E163" s="58" t="n"/>
      <c r="F163" s="99" t="inlineStr">
        <is>
          <t>取得した値をパディングする設計となっている場合、出力された値が［システム機能設計書/共通コンポーネント設計書の記載通り］であること。</t>
        </is>
      </c>
      <c r="G163" s="99" t="n"/>
      <c r="H163" s="99" t="n"/>
      <c r="I163" s="99" t="n"/>
      <c r="J163" s="82" t="n"/>
      <c r="K163" s="82" t="n"/>
      <c r="L163" s="82" t="n"/>
      <c r="M163" s="82" t="n"/>
      <c r="N163" s="82" t="n"/>
      <c r="O163" s="82" t="n"/>
      <c r="P163" s="82" t="n"/>
      <c r="Q163" s="82" t="n"/>
      <c r="R163" s="82" t="n"/>
    </row>
    <row r="164" ht="33" customHeight="1">
      <c r="A164" s="38">
        <f t="array" ref="A164">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_xlpm.テスト内容数（テスト内容が空の場合は1）, IF(_xlpm.テスト内容数=0,1,_xlpm.テスト内容数),
_xlpm.詳細項目数&amp;"-"&amp;_xlpm.観点数&amp;"-"&amp;_xlpm.テスト内容数（テスト内容が空の場合は1）
)</f>
        <v/>
      </c>
      <c r="B164" s="58" t="n"/>
      <c r="C164" s="52" t="n"/>
      <c r="D164" s="41" t="n"/>
      <c r="E164" s="58" t="n"/>
      <c r="F164" s="99" t="inlineStr">
        <is>
          <t>取得した値をパディングする設計となっている場合、出力された値のパディング位置が［システム機能設計書/共通コンポーネント設計書の記載通り］であること。</t>
        </is>
      </c>
      <c r="G164" s="99" t="n"/>
      <c r="H164" s="99" t="n"/>
      <c r="I164" s="99" t="n"/>
      <c r="J164" s="82" t="n"/>
      <c r="K164" s="82" t="n"/>
      <c r="L164" s="82" t="n"/>
      <c r="M164" s="82" t="n"/>
      <c r="N164" s="82" t="n"/>
      <c r="O164" s="82" t="n"/>
      <c r="P164" s="82" t="n"/>
      <c r="Q164" s="82" t="n"/>
      <c r="R164" s="82" t="n"/>
    </row>
    <row r="165" ht="33" customHeight="1">
      <c r="A165" s="38">
        <f t="array" ref="A165">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_xlpm.テスト内容数（テスト内容が空の場合は1）, IF(_xlpm.テスト内容数=0,1,_xlpm.テスト内容数),
_xlpm.詳細項目数&amp;"-"&amp;_xlpm.観点数&amp;"-"&amp;_xlpm.テスト内容数（テスト内容が空の場合は1）
)</f>
        <v/>
      </c>
      <c r="B165" s="58" t="n"/>
      <c r="C165" s="52" t="n"/>
      <c r="D165" s="41" t="n"/>
      <c r="E165" s="50" t="n"/>
      <c r="F165" s="99" t="inlineStr">
        <is>
          <t>取得した数値が小数点以下を含む場合、出力された小数点以下の数値が［システム機能設計書/共通コンポーネント設計書の記載通り］であること。</t>
        </is>
      </c>
      <c r="G165" s="99" t="n"/>
      <c r="H165" s="99" t="n"/>
      <c r="I165" s="99" t="n"/>
      <c r="J165" s="82" t="n"/>
      <c r="K165" s="82" t="n"/>
      <c r="L165" s="82" t="n"/>
      <c r="M165" s="82" t="n"/>
      <c r="N165" s="82" t="n"/>
      <c r="O165" s="82" t="n"/>
      <c r="P165" s="82" t="n"/>
      <c r="Q165" s="82" t="n"/>
      <c r="R165" s="82" t="n"/>
    </row>
    <row r="166" ht="22" customHeight="1">
      <c r="A166" s="38">
        <f t="array" ref="A166">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_xlpm.テスト内容数（テスト内容が空の場合は1）, IF(_xlpm.テスト内容数=0,1,_xlpm.テスト内容数),
_xlpm.詳細項目数&amp;"-"&amp;_xlpm.観点数&amp;"-"&amp;_xlpm.テスト内容数（テスト内容が空の場合は1）
)</f>
        <v/>
      </c>
      <c r="B166" s="58" t="n"/>
      <c r="C166" s="52" t="n"/>
      <c r="D166" s="41" t="n"/>
      <c r="E166" s="41" t="inlineStr">
        <is>
          <t>桁数</t>
        </is>
      </c>
      <c r="F166" s="99" t="inlineStr">
        <is>
          <t>出力項目の値が最大長の場合、エラーとならないこと。</t>
        </is>
      </c>
      <c r="G166" s="99" t="n"/>
      <c r="H166" s="99" t="n"/>
      <c r="I166" s="99" t="n"/>
      <c r="J166" s="82" t="n"/>
      <c r="K166" s="82" t="n"/>
      <c r="L166" s="82" t="n"/>
      <c r="M166" s="82" t="n"/>
      <c r="N166" s="82" t="n"/>
      <c r="O166" s="82" t="n"/>
      <c r="P166" s="82" t="n"/>
      <c r="Q166" s="82" t="n"/>
      <c r="R166" s="82" t="n"/>
    </row>
    <row r="167" ht="22" customHeight="1">
      <c r="A167" s="38">
        <f t="array" ref="A167">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_xlpm.テスト内容数（テスト内容が空の場合は1）, IF(_xlpm.テスト内容数=0,1,_xlpm.テスト内容数),
_xlpm.詳細項目数&amp;"-"&amp;_xlpm.観点数&amp;"-"&amp;_xlpm.テスト内容数（テスト内容が空の場合は1）
)</f>
        <v/>
      </c>
      <c r="B167" s="58" t="n"/>
      <c r="C167" s="52" t="n"/>
      <c r="D167" s="41" t="n"/>
      <c r="E167" s="41" t="n"/>
      <c r="F167" s="99" t="inlineStr">
        <is>
          <t>出力項目の値が最小長の場合、エラーとならないこと。</t>
        </is>
      </c>
      <c r="G167" s="99" t="n"/>
      <c r="H167" s="99" t="n"/>
      <c r="I167" s="99" t="n"/>
      <c r="J167" s="82" t="n"/>
      <c r="K167" s="82" t="n"/>
      <c r="L167" s="82" t="n"/>
      <c r="M167" s="82" t="n"/>
      <c r="N167" s="82" t="n"/>
      <c r="O167" s="82" t="n"/>
      <c r="P167" s="82" t="n"/>
      <c r="Q167" s="82" t="n"/>
      <c r="R167" s="82" t="n"/>
    </row>
    <row r="168" ht="22" customHeight="1">
      <c r="A168" s="38">
        <f t="array" ref="A168">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_xlpm.テスト内容数（テスト内容が空の場合は1）, IF(_xlpm.テスト内容数=0,1,_xlpm.テスト内容数),
_xlpm.詳細項目数&amp;"-"&amp;_xlpm.観点数&amp;"-"&amp;_xlpm.テスト内容数（テスト内容が空の場合は1）
)</f>
        <v/>
      </c>
      <c r="B168" s="58" t="n"/>
      <c r="C168" s="52" t="n"/>
      <c r="D168" s="41" t="n"/>
      <c r="E168" s="41" t="n"/>
      <c r="F168" s="99" t="inlineStr">
        <is>
          <t>出力項目の値が存在しない場合、［システム機能設計書/共通コンポーネント設計書の記載通りの挙動］となること。</t>
        </is>
      </c>
      <c r="G168" s="99" t="n"/>
      <c r="H168" s="99" t="n"/>
      <c r="I168" s="99" t="n"/>
      <c r="J168" s="82" t="n"/>
      <c r="K168" s="82" t="n"/>
      <c r="L168" s="82" t="n"/>
      <c r="M168" s="82" t="n"/>
      <c r="N168" s="82" t="n"/>
      <c r="O168" s="82" t="n"/>
      <c r="P168" s="82" t="n"/>
      <c r="Q168" s="82" t="n"/>
      <c r="R168" s="82" t="n"/>
    </row>
    <row r="169" ht="22" customHeight="1">
      <c r="A169" s="38">
        <f t="array" ref="A169">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_xlpm.テスト内容数（テスト内容が空の場合は1）, IF(_xlpm.テスト内容数=0,1,_xlpm.テスト内容数),
_xlpm.詳細項目数&amp;"-"&amp;_xlpm.観点数&amp;"-"&amp;_xlpm.テスト内容数（テスト内容が空の場合は1）
)</f>
        <v/>
      </c>
      <c r="B169" s="58" t="n"/>
      <c r="C169" s="52" t="n"/>
      <c r="D169" s="41" t="n"/>
      <c r="E169" s="41" t="n"/>
      <c r="F169" s="99" t="inlineStr">
        <is>
          <t>出力するレコードの長さが最大の場合、エラーとならないこと。</t>
        </is>
      </c>
      <c r="G169" s="99" t="n"/>
      <c r="H169" s="99" t="n"/>
      <c r="I169" s="99" t="n"/>
      <c r="J169" s="82" t="n"/>
      <c r="K169" s="82" t="n"/>
      <c r="L169" s="82" t="n"/>
      <c r="M169" s="82" t="n"/>
      <c r="N169" s="82" t="n"/>
      <c r="O169" s="82" t="n"/>
      <c r="P169" s="82" t="n"/>
      <c r="Q169" s="82" t="n"/>
      <c r="R169" s="82" t="n"/>
    </row>
    <row r="170" ht="22" customHeight="1">
      <c r="A170" s="38">
        <f t="array" ref="A170">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_xlpm.テスト内容数（テスト内容が空の場合は1）, IF(_xlpm.テスト内容数=0,1,_xlpm.テスト内容数),
_xlpm.詳細項目数&amp;"-"&amp;_xlpm.観点数&amp;"-"&amp;_xlpm.テスト内容数（テスト内容が空の場合は1）
)</f>
        <v/>
      </c>
      <c r="B170" s="58" t="n"/>
      <c r="C170" s="52" t="n"/>
      <c r="D170" s="41" t="n"/>
      <c r="E170" s="41" t="n"/>
      <c r="F170" s="99" t="inlineStr">
        <is>
          <t>出力するレコードの長さが最小の場合、エラーとならないこと。</t>
        </is>
      </c>
      <c r="G170" s="99" t="n"/>
      <c r="H170" s="99" t="n"/>
      <c r="I170" s="99" t="n"/>
      <c r="J170" s="82" t="n"/>
      <c r="K170" s="82" t="n"/>
      <c r="L170" s="82" t="n"/>
      <c r="M170" s="82" t="n"/>
      <c r="N170" s="82" t="n"/>
      <c r="O170" s="82" t="n"/>
      <c r="P170" s="82" t="n"/>
      <c r="Q170" s="82" t="n"/>
      <c r="R170" s="82" t="n"/>
    </row>
    <row r="171" ht="33" customHeight="1">
      <c r="A171" s="38">
        <f t="array" ref="A17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_xlpm.テスト内容数（テスト内容が空の場合は1）, IF(_xlpm.テスト内容数=0,1,_xlpm.テスト内容数),
_xlpm.詳細項目数&amp;"-"&amp;_xlpm.観点数&amp;"-"&amp;_xlpm.テスト内容数（テスト内容が空の場合は1）
)</f>
        <v/>
      </c>
      <c r="B171" s="58" t="n"/>
      <c r="C171" s="52" t="n"/>
      <c r="D171" s="41" t="n"/>
      <c r="E171" s="41" t="n"/>
      <c r="F171" s="99" t="inlineStr">
        <is>
          <t>サロゲートペア文字を許容する設計となっている場合、サロゲートペア文字を含むレコードを出力した結果がエラーとならないこと。</t>
        </is>
      </c>
      <c r="G171" s="99" t="n"/>
      <c r="H171" s="99" t="n"/>
      <c r="I171" s="99" t="n"/>
      <c r="J171" s="82" t="n"/>
      <c r="K171" s="82" t="n"/>
      <c r="L171" s="82" t="n"/>
      <c r="M171" s="82" t="n"/>
      <c r="N171" s="82" t="n"/>
      <c r="O171" s="82" t="n"/>
      <c r="P171" s="82" t="n"/>
      <c r="Q171" s="82" t="n"/>
      <c r="R171" s="82" t="n"/>
    </row>
    <row r="172" ht="22" customHeight="1">
      <c r="A172" s="38">
        <f t="array" ref="A172">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_xlpm.テスト内容数（テスト内容が空の場合は1）, IF(_xlpm.テスト内容数=0,1,_xlpm.テスト内容数),
_xlpm.詳細項目数&amp;"-"&amp;_xlpm.観点数&amp;"-"&amp;_xlpm.テスト内容数（テスト内容が空の場合は1）
)</f>
        <v/>
      </c>
      <c r="B172" s="41" t="n"/>
      <c r="C172" s="52" t="n"/>
      <c r="D172" s="41" t="n"/>
      <c r="E172" s="50" t="n"/>
      <c r="F172" s="99" t="inlineStr">
        <is>
          <t>帳票に出力する項目の値が最大長の場合、出力内容が見切れないこと。</t>
        </is>
      </c>
      <c r="G172" s="99" t="n"/>
      <c r="H172" s="99" t="n"/>
      <c r="I172" s="99" t="n"/>
      <c r="J172" s="82" t="n"/>
      <c r="K172" s="82" t="n"/>
      <c r="L172" s="82" t="n"/>
      <c r="M172" s="82" t="n"/>
      <c r="N172" s="82" t="n"/>
      <c r="O172" s="82" t="n"/>
      <c r="P172" s="82" t="n"/>
      <c r="Q172" s="82" t="n"/>
      <c r="R172" s="82" t="n"/>
    </row>
    <row r="173" ht="22" customHeight="1">
      <c r="A173" s="38">
        <f t="array" ref="A173">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_xlpm.テスト内容数（テスト内容が空の場合は1）, IF(_xlpm.テスト内容数=0,1,_xlpm.テスト内容数),
_xlpm.詳細項目数&amp;"-"&amp;_xlpm.観点数&amp;"-"&amp;_xlpm.テスト内容数（テスト内容が空の場合は1）
)</f>
        <v/>
      </c>
      <c r="B173" s="41" t="n"/>
      <c r="C173" s="52" t="n"/>
      <c r="D173" s="41" t="n"/>
      <c r="E173" s="40" t="inlineStr">
        <is>
          <t>レコード件数</t>
        </is>
      </c>
      <c r="F173" s="99" t="inlineStr">
        <is>
          <t>ファイルに期待通りの件数分、レコードが出力されること。</t>
        </is>
      </c>
      <c r="G173" s="99" t="n"/>
      <c r="H173" s="99" t="n"/>
      <c r="I173" s="99" t="n"/>
      <c r="J173" s="82" t="n"/>
      <c r="K173" s="82" t="n"/>
      <c r="L173" s="82" t="n"/>
      <c r="M173" s="82" t="n"/>
      <c r="N173" s="82" t="n"/>
      <c r="O173" s="82" t="n"/>
      <c r="P173" s="82" t="n"/>
      <c r="Q173" s="82" t="n"/>
      <c r="R173" s="82" t="n"/>
    </row>
    <row r="174" ht="33" customHeight="1">
      <c r="A174" s="38">
        <f t="array" ref="A174">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_xlpm.テスト内容数（テスト内容が空の場合は1）, IF(_xlpm.テスト内容数=0,1,_xlpm.テスト内容数),
_xlpm.詳細項目数&amp;"-"&amp;_xlpm.観点数&amp;"-"&amp;_xlpm.テスト内容数（テスト内容が空の場合は1）
)</f>
        <v/>
      </c>
      <c r="B174" s="58" t="n"/>
      <c r="C174" s="52" t="n"/>
      <c r="D174" s="41" t="n"/>
      <c r="E174" s="41" t="n"/>
      <c r="F174" s="99" t="inlineStr">
        <is>
          <t>レコード件数をファイルに出力する設計となっている場合、出力された値が［システム機能設計書/共通コンポーネント設計書の記載通り］であること。</t>
        </is>
      </c>
      <c r="G174" s="99" t="n"/>
      <c r="H174" s="99" t="n"/>
      <c r="I174" s="99" t="n"/>
      <c r="J174" s="82" t="n"/>
      <c r="K174" s="82" t="n"/>
      <c r="L174" s="82" t="n"/>
      <c r="M174" s="82" t="n"/>
      <c r="N174" s="82" t="n"/>
      <c r="O174" s="82" t="n"/>
      <c r="P174" s="82" t="n"/>
      <c r="Q174" s="82" t="n"/>
      <c r="R174" s="82" t="n"/>
    </row>
    <row r="175" ht="33" customHeight="1">
      <c r="A175" s="38">
        <f t="array" ref="A175">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_xlpm.テスト内容数（テスト内容が空の場合は1）, IF(_xlpm.テスト内容数=0,1,_xlpm.テスト内容数),
_xlpm.詳細項目数&amp;"-"&amp;_xlpm.観点数&amp;"-"&amp;_xlpm.テスト内容数（テスト内容が空の場合は1）
)</f>
        <v/>
      </c>
      <c r="B175" s="58" t="n"/>
      <c r="C175" s="52" t="n"/>
      <c r="D175" s="41" t="n"/>
      <c r="E175" s="41" t="n"/>
      <c r="F175" s="99" t="inlineStr">
        <is>
          <t>出力するレコード件数が複数件の場合、［システム機能設計書/共通コンポーネント設計書の記載通りの挙動］となること。</t>
        </is>
      </c>
      <c r="G175" s="99" t="n"/>
      <c r="H175" s="99" t="n"/>
      <c r="I175" s="99" t="n"/>
      <c r="J175" s="82" t="n"/>
      <c r="K175" s="82" t="n"/>
      <c r="L175" s="82" t="n"/>
      <c r="M175" s="82" t="n"/>
      <c r="N175" s="82" t="n"/>
      <c r="O175" s="82" t="n"/>
      <c r="P175" s="82" t="n"/>
      <c r="Q175" s="82" t="n"/>
      <c r="R175" s="82" t="n"/>
    </row>
    <row r="176" ht="44" customHeight="1">
      <c r="A176" s="38">
        <f t="array" ref="A176">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_xlpm.テスト内容数（テスト内容が空の場合は1）, IF(_xlpm.テスト内容数=0,1,_xlpm.テスト内容数),
_xlpm.詳細項目数&amp;"-"&amp;_xlpm.観点数&amp;"-"&amp;_xlpm.テスト内容数（テスト内容が空の場合は1）
)</f>
        <v/>
      </c>
      <c r="B176" s="58" t="n"/>
      <c r="C176" s="52" t="n"/>
      <c r="D176" s="41" t="n"/>
      <c r="E176" s="41" t="n"/>
      <c r="F176" s="99" t="inlineStr">
        <is>
          <t>1ファイルに出力するレコードの最大件数が決まっている場合、最大件数分のレコードを出力した結果が［システム機能設計書/共通コンポーネント設計書の記載通り］であること。</t>
        </is>
      </c>
      <c r="G176" s="99" t="n"/>
      <c r="H176" s="99" t="n"/>
      <c r="I176" s="99" t="n"/>
      <c r="J176" s="82" t="n"/>
      <c r="K176" s="82" t="n"/>
      <c r="L176" s="82" t="n"/>
      <c r="M176" s="82" t="n"/>
      <c r="N176" s="82" t="n"/>
      <c r="O176" s="82" t="n"/>
      <c r="P176" s="82" t="n"/>
      <c r="Q176" s="82" t="n"/>
      <c r="R176" s="82" t="n"/>
    </row>
    <row r="177" ht="44" customHeight="1">
      <c r="A177" s="38">
        <f t="array" ref="A177">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_xlpm.テスト内容数（テスト内容が空の場合は1）, IF(_xlpm.テスト内容数=0,1,_xlpm.テスト内容数),
_xlpm.詳細項目数&amp;"-"&amp;_xlpm.観点数&amp;"-"&amp;_xlpm.テスト内容数（テスト内容が空の場合は1）
)</f>
        <v/>
      </c>
      <c r="B177" s="58" t="n"/>
      <c r="C177" s="52" t="n"/>
      <c r="D177" s="41" t="n"/>
      <c r="E177" s="41" t="n"/>
      <c r="F177" s="99" t="inlineStr">
        <is>
          <t>1ファイルに出力するレコードの最大件数が決まっている場合、最大件数＋1件分のレコードを出力した結果が［システム機能設計書/共通コンポーネント設計書の記載通り］であること。</t>
        </is>
      </c>
      <c r="G177" s="99" t="n"/>
      <c r="H177" s="99" t="n"/>
      <c r="I177" s="99" t="n"/>
      <c r="J177" s="82" t="n"/>
      <c r="K177" s="82" t="n"/>
      <c r="L177" s="82" t="n"/>
      <c r="M177" s="82" t="n"/>
      <c r="N177" s="82" t="n"/>
      <c r="O177" s="82" t="n"/>
      <c r="P177" s="82" t="n"/>
      <c r="Q177" s="82" t="n"/>
      <c r="R177" s="82" t="n"/>
    </row>
    <row r="178" ht="33" customHeight="1">
      <c r="A178" s="38">
        <f t="array" ref="A178">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_xlpm.テスト内容数（テスト内容が空の場合は1）, IF(_xlpm.テスト内容数=0,1,_xlpm.テスト内容数),
_xlpm.詳細項目数&amp;"-"&amp;_xlpm.観点数&amp;"-"&amp;_xlpm.テスト内容数（テスト内容が空の場合は1）
)</f>
        <v/>
      </c>
      <c r="B178" s="58" t="n"/>
      <c r="C178" s="52" t="n"/>
      <c r="D178" s="41" t="n"/>
      <c r="E178" s="41" t="n"/>
      <c r="F178" s="99" t="inlineStr">
        <is>
          <t>出力するレコードが0件（空ファイル）の場合、［システム機能設計書/共通コンポーネント設計書の記載通りの挙動］となること。</t>
        </is>
      </c>
      <c r="G178" s="99" t="n"/>
      <c r="H178" s="99" t="n"/>
      <c r="I178" s="99" t="n"/>
      <c r="J178" s="82" t="n"/>
      <c r="K178" s="82" t="n"/>
      <c r="L178" s="82" t="n"/>
      <c r="M178" s="82" t="n"/>
      <c r="N178" s="82" t="n"/>
      <c r="O178" s="82" t="n"/>
      <c r="P178" s="82" t="n"/>
      <c r="Q178" s="82" t="n"/>
      <c r="R178" s="82" t="n"/>
    </row>
    <row r="179" ht="44" customHeight="1">
      <c r="A179" s="38">
        <f t="array" ref="A179">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_xlpm.テスト内容数（テスト内容が空の場合は1）, IF(_xlpm.テスト内容数=0,1,_xlpm.テスト内容数),
_xlpm.詳細項目数&amp;"-"&amp;_xlpm.観点数&amp;"-"&amp;_xlpm.テスト内容数（テスト内容が空の場合は1）
)</f>
        <v/>
      </c>
      <c r="B179" s="58" t="n"/>
      <c r="C179" s="52" t="n"/>
      <c r="D179" s="41" t="n"/>
      <c r="E179" s="41" t="n"/>
      <c r="F179" s="99" t="inlineStr">
        <is>
          <t>出力するファイルがマルチレイアウトの場合、同一レコード種類のレコードが複数件存在する時の処理が［システム機能設計書/共通コンポーネント設計書の記載通り］であること。</t>
        </is>
      </c>
      <c r="G179" s="99" t="n"/>
      <c r="H179" s="99" t="n"/>
      <c r="I179" s="99" t="n"/>
      <c r="J179" s="82" t="n"/>
      <c r="K179" s="82" t="n"/>
      <c r="L179" s="82" t="n"/>
      <c r="M179" s="82" t="n"/>
      <c r="N179" s="82" t="n"/>
      <c r="O179" s="82" t="n"/>
      <c r="P179" s="82" t="n"/>
      <c r="Q179" s="82" t="n"/>
      <c r="R179" s="82" t="n"/>
    </row>
    <row r="180" ht="44" customHeight="1">
      <c r="A180" s="38">
        <f t="array" ref="A180">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_xlpm.テスト内容数（テスト内容が空の場合は1）, IF(_xlpm.テスト内容数=0,1,_xlpm.テスト内容数),
_xlpm.詳細項目数&amp;"-"&amp;_xlpm.観点数&amp;"-"&amp;_xlpm.テスト内容数（テスト内容が空の場合は1）
)</f>
        <v/>
      </c>
      <c r="B180" s="58" t="n"/>
      <c r="C180" s="52" t="n"/>
      <c r="D180" s="41" t="n"/>
      <c r="E180" s="41" t="n"/>
      <c r="F180" s="99" t="inlineStr">
        <is>
          <t>出力するファイルがマルチレイアウトの場合、レコード種類のうちデータレコードにあたる件数が0件の時、［システム機能設計書/共通コンポーネント設計書の記載通りの挙動］であること。</t>
        </is>
      </c>
      <c r="G180" s="99" t="n"/>
      <c r="H180" s="99" t="n"/>
      <c r="I180" s="99" t="n"/>
      <c r="J180" s="82" t="n"/>
      <c r="K180" s="82" t="n"/>
      <c r="L180" s="82" t="n"/>
      <c r="M180" s="82" t="n"/>
      <c r="N180" s="82" t="n"/>
      <c r="O180" s="82" t="n"/>
      <c r="P180" s="82" t="n"/>
      <c r="Q180" s="82" t="n"/>
      <c r="R180" s="82" t="n"/>
    </row>
    <row r="181" ht="33" customHeight="1">
      <c r="A181" s="38">
        <f t="array" ref="A18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_xlpm.テスト内容数（テスト内容が空の場合は1）, IF(_xlpm.テスト内容数=0,1,_xlpm.テスト内容数),
_xlpm.詳細項目数&amp;"-"&amp;_xlpm.観点数&amp;"-"&amp;_xlpm.テスト内容数（テスト内容が空の場合は1）
)</f>
        <v/>
      </c>
      <c r="B181" s="58" t="n"/>
      <c r="C181" s="52" t="n"/>
      <c r="D181" s="41" t="n"/>
      <c r="E181" s="50" t="n"/>
      <c r="F181" s="99" t="inlineStr">
        <is>
          <t>出力するファイルがマルチレイアウトで、全レコード種類が含まれる場合、エラーとならないこと。</t>
        </is>
      </c>
      <c r="G181" s="99" t="n"/>
      <c r="H181" s="99" t="n"/>
      <c r="I181" s="99" t="n"/>
      <c r="J181" s="82" t="n"/>
      <c r="K181" s="82" t="n"/>
      <c r="L181" s="82" t="n"/>
      <c r="M181" s="82" t="n"/>
      <c r="N181" s="82" t="n"/>
      <c r="O181" s="82" t="n"/>
      <c r="P181" s="82" t="n"/>
      <c r="Q181" s="82" t="n"/>
      <c r="R181" s="82" t="n"/>
    </row>
    <row r="182" ht="33" customHeight="1">
      <c r="A182" s="38">
        <f t="array" ref="A182">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_xlpm.テスト内容数（テスト内容が空の場合は1）, IF(_xlpm.テスト内容数=0,1,_xlpm.テスト内容数),
_xlpm.詳細項目数&amp;"-"&amp;_xlpm.観点数&amp;"-"&amp;_xlpm.テスト内容数（テスト内容が空の場合は1）
)</f>
        <v/>
      </c>
      <c r="B182" s="58" t="n"/>
      <c r="C182" s="52" t="n"/>
      <c r="D182" s="41" t="n"/>
      <c r="E182" s="99" t="inlineStr">
        <is>
          <t>ソート順</t>
        </is>
      </c>
      <c r="F182" s="99" t="inlineStr">
        <is>
          <t>出力するレコードのソート順が［システム機能設計書/共通コンポーネント設計書/帳票設計書の記載通り］であること。</t>
        </is>
      </c>
      <c r="G182" s="99" t="n"/>
      <c r="H182" s="99" t="n"/>
      <c r="I182" s="99" t="n"/>
      <c r="J182" s="82" t="n"/>
      <c r="K182" s="82" t="n"/>
      <c r="L182" s="82" t="n"/>
      <c r="M182" s="82" t="n"/>
      <c r="N182" s="82" t="n"/>
      <c r="O182" s="82" t="n"/>
      <c r="P182" s="82" t="n"/>
      <c r="Q182" s="82" t="n"/>
      <c r="R182" s="82" t="n"/>
    </row>
    <row r="183" ht="22" customHeight="1">
      <c r="A183" s="38">
        <f t="array" ref="A183">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_xlpm.テスト内容数（テスト内容が空の場合は1）, IF(_xlpm.テスト内容数=0,1,_xlpm.テスト内容数),
_xlpm.詳細項目数&amp;"-"&amp;_xlpm.観点数&amp;"-"&amp;_xlpm.テスト内容数（テスト内容が空の場合は1）
)</f>
        <v/>
      </c>
      <c r="B183" s="50" t="n"/>
      <c r="C183" s="49" t="n"/>
      <c r="D183" s="50" t="n"/>
      <c r="E183" s="49" t="inlineStr">
        <is>
          <t>画像</t>
        </is>
      </c>
      <c r="F183" s="99" t="inlineStr">
        <is>
          <t>出力された画像が［システム機能設計書/共通コンポーネント設計書/帳票設計書の記載通り］であること。</t>
        </is>
      </c>
      <c r="G183" s="99" t="n"/>
      <c r="H183" s="99" t="n"/>
      <c r="I183" s="99" t="n"/>
      <c r="J183" s="82" t="n"/>
      <c r="K183" s="82" t="n"/>
      <c r="L183" s="82" t="n"/>
      <c r="M183" s="82" t="n"/>
      <c r="N183" s="82" t="n"/>
      <c r="O183" s="82" t="n"/>
      <c r="P183" s="82" t="n"/>
      <c r="Q183" s="82" t="n"/>
      <c r="R183" s="82" t="n"/>
    </row>
    <row r="184" ht="22" customHeight="1">
      <c r="A184" s="38">
        <f t="array" ref="A184">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_xlpm.テスト内容数（テスト内容が空の場合は1）, IF(_xlpm.テスト内容数=0,1,_xlpm.テスト内容数),
_xlpm.詳細項目数&amp;"-"&amp;_xlpm.観点数&amp;"-"&amp;_xlpm.テスト内容数（テスト内容が空の場合は1）
)</f>
        <v/>
      </c>
      <c r="B184" s="40" t="inlineStr">
        <is>
          <t>ファイル操作</t>
        </is>
      </c>
      <c r="C184" s="40" t="inlineStr">
        <is>
          <t>実行結果</t>
        </is>
      </c>
      <c r="D184" s="287" t="inlineStr">
        <is>
          <t>削除</t>
        </is>
      </c>
      <c r="E184" s="99" t="inlineStr">
        <is>
          <t>-</t>
        </is>
      </c>
      <c r="F184" s="99" t="inlineStr">
        <is>
          <t>ファイルが削除されること。</t>
        </is>
      </c>
      <c r="G184" s="99" t="n"/>
      <c r="H184" s="99" t="n"/>
      <c r="I184" s="99" t="n"/>
      <c r="J184" s="82" t="n"/>
      <c r="K184" s="82" t="n"/>
      <c r="L184" s="82" t="n"/>
      <c r="M184" s="82" t="n"/>
      <c r="N184" s="82" t="n"/>
      <c r="O184" s="82" t="n"/>
      <c r="P184" s="82" t="n"/>
      <c r="Q184" s="82" t="n"/>
      <c r="R184" s="82" t="n"/>
    </row>
    <row r="185" ht="22" customHeight="1">
      <c r="A185" s="38">
        <f t="array" ref="A185">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_xlpm.テスト内容数（テスト内容が空の場合は1）, IF(_xlpm.テスト内容数=0,1,_xlpm.テスト内容数),
_xlpm.詳細項目数&amp;"-"&amp;_xlpm.観点数&amp;"-"&amp;_xlpm.テスト内容数（テスト内容が空の場合は1）
)</f>
        <v/>
      </c>
      <c r="B185" s="41" t="n"/>
      <c r="C185" s="52" t="n"/>
      <c r="D185" s="287" t="inlineStr">
        <is>
          <t>移動・リネーム</t>
        </is>
      </c>
      <c r="E185" s="99" t="inlineStr">
        <is>
          <t>-</t>
        </is>
      </c>
      <c r="F185" s="99" t="inlineStr">
        <is>
          <t>ファイルが移動、リネームされること。</t>
        </is>
      </c>
      <c r="G185" s="99" t="n"/>
      <c r="H185" s="99" t="n"/>
      <c r="I185" s="99" t="n"/>
      <c r="J185" s="82" t="n"/>
      <c r="K185" s="82" t="n"/>
      <c r="L185" s="82" t="n"/>
      <c r="M185" s="82" t="n"/>
      <c r="N185" s="82" t="n"/>
      <c r="O185" s="82" t="n"/>
      <c r="P185" s="82" t="n"/>
      <c r="Q185" s="82" t="n"/>
      <c r="R185" s="82" t="n"/>
    </row>
    <row r="186" ht="22" customHeight="1">
      <c r="A186" s="38">
        <f t="array" ref="A186">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_xlpm.テスト内容数（テスト内容が空の場合は1）, IF(_xlpm.テスト内容数=0,1,_xlpm.テスト内容数),
_xlpm.詳細項目数&amp;"-"&amp;_xlpm.観点数&amp;"-"&amp;_xlpm.テスト内容数（テスト内容が空の場合は1）
)</f>
        <v/>
      </c>
      <c r="B186" s="50" t="n"/>
      <c r="C186" s="49" t="n"/>
      <c r="D186" s="49" t="inlineStr">
        <is>
          <t>コピー</t>
        </is>
      </c>
      <c r="E186" s="49" t="inlineStr">
        <is>
          <t>-</t>
        </is>
      </c>
      <c r="F186" s="99" t="inlineStr">
        <is>
          <t>ファイルがコピーされること。</t>
        </is>
      </c>
      <c r="G186" s="99" t="n"/>
      <c r="H186" s="99" t="n"/>
      <c r="I186" s="99" t="n"/>
      <c r="J186" s="82" t="n"/>
      <c r="K186" s="82" t="n"/>
      <c r="L186" s="82" t="n"/>
      <c r="M186" s="82" t="n"/>
      <c r="N186" s="82" t="n"/>
      <c r="O186" s="82" t="n"/>
      <c r="P186" s="82" t="n"/>
      <c r="Q186" s="82" t="n"/>
      <c r="R186" s="82" t="n"/>
    </row>
    <row r="187" ht="22" customHeight="1">
      <c r="A187" s="38">
        <f t="array" ref="A187">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_xlpm.テスト内容数（テスト内容が空の場合は1）, IF(_xlpm.テスト内容数=0,1,_xlpm.テスト内容数),
_xlpm.詳細項目数&amp;"-"&amp;_xlpm.観点数&amp;"-"&amp;_xlpm.テスト内容数（テスト内容が空の場合は1）
)</f>
        <v/>
      </c>
      <c r="B187" s="40" t="inlineStr">
        <is>
          <t>メール処理</t>
        </is>
      </c>
      <c r="C187" s="40" t="inlineStr">
        <is>
          <t>実行結果</t>
        </is>
      </c>
      <c r="D187" s="40" t="inlineStr">
        <is>
          <t>-</t>
        </is>
      </c>
      <c r="E187" s="99" t="inlineStr">
        <is>
          <t>送信・転送</t>
        </is>
      </c>
      <c r="F187" s="99" t="inlineStr">
        <is>
          <t>指定した宛先（メールアドレス）への送信、転送が正常終了すること。</t>
        </is>
      </c>
      <c r="G187" s="44" t="n"/>
      <c r="H187" s="99" t="n"/>
      <c r="I187" s="99" t="n"/>
      <c r="J187" s="82" t="n"/>
      <c r="K187" s="82" t="n"/>
      <c r="L187" s="82" t="n"/>
      <c r="M187" s="82" t="n"/>
      <c r="N187" s="82" t="n"/>
      <c r="O187" s="82" t="n"/>
      <c r="P187" s="82" t="n"/>
      <c r="Q187" s="82" t="n"/>
      <c r="R187" s="82" t="n"/>
    </row>
    <row r="188" ht="22" customHeight="1">
      <c r="A188" s="38">
        <f t="array" ref="A188">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_xlpm.テスト内容数（テスト内容が空の場合は1）, IF(_xlpm.テスト内容数=0,1,_xlpm.テスト内容数),
_xlpm.詳細項目数&amp;"-"&amp;_xlpm.観点数&amp;"-"&amp;_xlpm.テスト内容数（テスト内容が空の場合は1）
)</f>
        <v/>
      </c>
      <c r="B188" s="58" t="n"/>
      <c r="C188" s="58" t="n"/>
      <c r="D188" s="41" t="n"/>
      <c r="E188" s="41" t="inlineStr">
        <is>
          <t>桁数</t>
        </is>
      </c>
      <c r="F188" s="99" t="inlineStr">
        <is>
          <t>宛先（メールアドレス）に最大長がセットされた場合、送信、転送が正常終了すること。</t>
        </is>
      </c>
      <c r="G188" s="44" t="n"/>
      <c r="H188" s="99" t="n"/>
      <c r="I188" s="99" t="n"/>
      <c r="J188" s="82" t="n"/>
      <c r="K188" s="82" t="n"/>
      <c r="L188" s="82" t="n"/>
      <c r="M188" s="82" t="n"/>
      <c r="N188" s="82" t="n"/>
      <c r="O188" s="82" t="n"/>
      <c r="P188" s="82" t="n"/>
      <c r="Q188" s="82" t="n"/>
      <c r="R188" s="82" t="n"/>
    </row>
    <row r="189" ht="22" customHeight="1">
      <c r="A189" s="38">
        <f t="array" ref="A189">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_xlpm.テスト内容数（テスト内容が空の場合は1）, IF(_xlpm.テスト内容数=0,1,_xlpm.テスト内容数),
_xlpm.詳細項目数&amp;"-"&amp;_xlpm.観点数&amp;"-"&amp;_xlpm.テスト内容数（テスト内容が空の場合は1）
)</f>
        <v/>
      </c>
      <c r="B189" s="58" t="n"/>
      <c r="C189" s="288" t="n"/>
      <c r="D189" s="41" t="n"/>
      <c r="E189" s="50" t="n"/>
      <c r="F189" s="99" t="inlineStr">
        <is>
          <t>件名に最大長がセットされた場合、送信、転送が正常終了すること。</t>
        </is>
      </c>
      <c r="G189" s="44" t="n"/>
      <c r="H189" s="99" t="n"/>
      <c r="I189" s="99" t="n"/>
      <c r="J189" s="82" t="n"/>
      <c r="K189" s="82" t="n"/>
      <c r="L189" s="82" t="n"/>
      <c r="M189" s="82" t="n"/>
      <c r="N189" s="82" t="n"/>
      <c r="O189" s="82" t="n"/>
      <c r="P189" s="82" t="n"/>
      <c r="Q189" s="82" t="n"/>
      <c r="R189" s="82" t="n"/>
    </row>
    <row r="190" ht="22" customHeight="1">
      <c r="A190" s="38">
        <f t="array" ref="A190">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_xlpm.テスト内容数（テスト内容が空の場合は1）, IF(_xlpm.テスト内容数=0,1,_xlpm.テスト内容数),
_xlpm.詳細項目数&amp;"-"&amp;_xlpm.観点数&amp;"-"&amp;_xlpm.テスト内容数（テスト内容が空の場合は1）
)</f>
        <v/>
      </c>
      <c r="B190" s="58" t="n"/>
      <c r="C190" s="52" t="n"/>
      <c r="D190" s="41" t="n"/>
      <c r="E190" s="41" t="inlineStr">
        <is>
          <t>編集</t>
        </is>
      </c>
      <c r="F190" s="99" t="inlineStr">
        <is>
          <t>件名に改行・タブ・メタキャラクタ（ "，&amp;．&lt;，&gt;，',\ ）が含まれていた場合、送信、転送が正常終了すること。</t>
        </is>
      </c>
      <c r="G190" s="44" t="n"/>
      <c r="H190" s="99" t="n"/>
      <c r="I190" s="99" t="n"/>
      <c r="J190" s="82" t="n"/>
      <c r="K190" s="82" t="n"/>
      <c r="L190" s="82" t="n"/>
      <c r="M190" s="82" t="n"/>
      <c r="N190" s="82" t="n"/>
      <c r="O190" s="82" t="n"/>
      <c r="P190" s="82" t="n"/>
      <c r="Q190" s="82" t="n"/>
      <c r="R190" s="82" t="n"/>
    </row>
    <row r="191" ht="22" customHeight="1">
      <c r="A191" s="38">
        <f t="array" ref="A19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_xlpm.テスト内容数（テスト内容が空の場合は1）, IF(_xlpm.テスト内容数=0,1,_xlpm.テスト内容数),
_xlpm.詳細項目数&amp;"-"&amp;_xlpm.観点数&amp;"-"&amp;_xlpm.テスト内容数（テスト内容が空の場合は1）
)</f>
        <v/>
      </c>
      <c r="B191" s="58" t="n"/>
      <c r="C191" s="52" t="n"/>
      <c r="D191" s="289" t="n"/>
      <c r="E191" s="50" t="n"/>
      <c r="F191" s="99" t="inlineStr">
        <is>
          <t>本文に改行・タブ・メタキャラクタ（ "，&amp;．&lt;，&gt;，',\ ）が含まれていた場合、送信、転送が正常終了すること。</t>
        </is>
      </c>
      <c r="G191" s="44" t="n"/>
      <c r="H191" s="99" t="n"/>
      <c r="I191" s="99" t="n"/>
      <c r="J191" s="82" t="n"/>
      <c r="K191" s="82" t="n"/>
      <c r="L191" s="82" t="n"/>
      <c r="M191" s="82" t="n"/>
      <c r="N191" s="82" t="n"/>
      <c r="O191" s="82" t="n"/>
      <c r="P191" s="82" t="n"/>
      <c r="Q191" s="82" t="n"/>
      <c r="R191" s="82" t="n"/>
    </row>
    <row r="192" ht="33" customHeight="1">
      <c r="A192" s="38">
        <f t="array" ref="A192">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_xlpm.テスト内容数（テスト内容が空の場合は1）, IF(_xlpm.テスト内容数=0,1,_xlpm.テスト内容数),
_xlpm.詳細項目数&amp;"-"&amp;_xlpm.観点数&amp;"-"&amp;_xlpm.テスト内容数（テスト内容が空の場合は1）
)</f>
        <v/>
      </c>
      <c r="B192" s="58" t="n"/>
      <c r="C192" s="49" t="n"/>
      <c r="D192" s="50" t="inlineStr">
        <is>
          <t>エラー</t>
        </is>
      </c>
      <c r="E192" s="50" t="inlineStr">
        <is>
          <t>-</t>
        </is>
      </c>
      <c r="F192" s="99" t="inlineStr">
        <is>
          <t>エラーが発生した場合、メールの送信結果が［システム機能設計書/共通コンポーネント設計書の記載通り］であること。</t>
        </is>
      </c>
      <c r="G192" s="44" t="n"/>
      <c r="H192" s="99" t="n"/>
      <c r="I192" s="99" t="n"/>
      <c r="J192" s="82" t="n"/>
      <c r="K192" s="82" t="n"/>
      <c r="L192" s="82" t="n"/>
      <c r="M192" s="82" t="n"/>
      <c r="N192" s="82" t="n"/>
      <c r="O192" s="82" t="n"/>
      <c r="P192" s="82" t="n"/>
      <c r="Q192" s="82" t="n"/>
      <c r="R192" s="82" t="n"/>
    </row>
    <row r="193" ht="22" customHeight="1">
      <c r="A193" s="38">
        <f t="array" ref="A193">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_xlpm.テスト内容数（テスト内容が空の場合は1）, IF(_xlpm.テスト内容数=0,1,_xlpm.テスト内容数),
_xlpm.詳細項目数&amp;"-"&amp;_xlpm.観点数&amp;"-"&amp;_xlpm.テスト内容数（テスト内容が空の場合は1）
)</f>
        <v/>
      </c>
      <c r="B193" s="58" t="n"/>
      <c r="C193" s="52" t="inlineStr">
        <is>
          <t>メール編集</t>
        </is>
      </c>
      <c r="D193" s="41" t="inlineStr">
        <is>
          <t>ヘッダ</t>
        </is>
      </c>
      <c r="E193" s="41" t="inlineStr">
        <is>
          <t>設定</t>
        </is>
      </c>
      <c r="F193" s="99" t="inlineStr">
        <is>
          <t>ヘッダの宛先（To）に［メール設計書の記載通りの値］が設定されること。</t>
        </is>
      </c>
      <c r="G193" s="44" t="n"/>
      <c r="H193" s="99" t="n"/>
      <c r="I193" s="99" t="n"/>
      <c r="J193" s="82" t="n"/>
      <c r="K193" s="82" t="n"/>
      <c r="L193" s="82" t="n"/>
      <c r="M193" s="82" t="n"/>
      <c r="N193" s="82" t="n"/>
      <c r="O193" s="82" t="n"/>
      <c r="P193" s="82" t="n"/>
      <c r="Q193" s="82" t="n"/>
      <c r="R193" s="82" t="n"/>
    </row>
    <row r="194" ht="22" customHeight="1">
      <c r="A194" s="38">
        <f t="array" ref="A194">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_xlpm.テスト内容数（テスト内容が空の場合は1）, IF(_xlpm.テスト内容数=0,1,_xlpm.テスト内容数),
_xlpm.詳細項目数&amp;"-"&amp;_xlpm.観点数&amp;"-"&amp;_xlpm.テスト内容数（テスト内容が空の場合は1）
)</f>
        <v/>
      </c>
      <c r="B194" s="58" t="n"/>
      <c r="C194" s="288" t="n"/>
      <c r="D194" s="41" t="n"/>
      <c r="E194" s="41" t="n"/>
      <c r="F194" s="99" t="inlineStr">
        <is>
          <t>ヘッダの宛先（Cc）に［メール設計書の記載通りの値］が設定されること。</t>
        </is>
      </c>
      <c r="G194" s="44" t="n"/>
      <c r="H194" s="99" t="n"/>
      <c r="I194" s="99" t="n"/>
      <c r="J194" s="82" t="n"/>
      <c r="K194" s="82" t="n"/>
      <c r="L194" s="82" t="n"/>
      <c r="M194" s="82" t="n"/>
      <c r="N194" s="82" t="n"/>
      <c r="O194" s="82" t="n"/>
      <c r="P194" s="82" t="n"/>
      <c r="Q194" s="82" t="n"/>
      <c r="R194" s="82" t="n"/>
    </row>
    <row r="195" ht="22" customHeight="1">
      <c r="A195" s="38">
        <f t="array" ref="A195">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_xlpm.テスト内容数（テスト内容が空の場合は1）, IF(_xlpm.テスト内容数=0,1,_xlpm.テスト内容数),
_xlpm.詳細項目数&amp;"-"&amp;_xlpm.観点数&amp;"-"&amp;_xlpm.テスト内容数（テスト内容が空の場合は1）
)</f>
        <v/>
      </c>
      <c r="B195" s="58" t="n"/>
      <c r="C195" s="288" t="n"/>
      <c r="D195" s="41" t="n"/>
      <c r="E195" s="41" t="n"/>
      <c r="F195" s="99" t="inlineStr">
        <is>
          <t>ヘッダの宛先（Bcc）に［メール設計書の記載通りの値］が設定されること。</t>
        </is>
      </c>
      <c r="G195" s="44" t="n"/>
      <c r="H195" s="99" t="n"/>
      <c r="I195" s="99" t="n"/>
      <c r="J195" s="82" t="n"/>
      <c r="K195" s="82" t="n"/>
      <c r="L195" s="82" t="n"/>
      <c r="M195" s="82" t="n"/>
      <c r="N195" s="82" t="n"/>
      <c r="O195" s="82" t="n"/>
      <c r="P195" s="82" t="n"/>
      <c r="Q195" s="82" t="n"/>
      <c r="R195" s="82" t="n"/>
    </row>
    <row r="196" ht="22" customHeight="1">
      <c r="A196" s="38">
        <f t="array" ref="A196">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_xlpm.テスト内容数（テスト内容が空の場合は1）, IF(_xlpm.テスト内容数=0,1,_xlpm.テスト内容数),
_xlpm.詳細項目数&amp;"-"&amp;_xlpm.観点数&amp;"-"&amp;_xlpm.テスト内容数（テスト内容が空の場合は1）
)</f>
        <v/>
      </c>
      <c r="B196" s="58" t="n"/>
      <c r="C196" s="288" t="n"/>
      <c r="D196" s="41" t="n"/>
      <c r="E196" s="41" t="n"/>
      <c r="F196" s="99" t="inlineStr">
        <is>
          <t>ヘッダの送信元（From）に［メール設計書の記載通りの値］が設定されること。</t>
        </is>
      </c>
      <c r="G196" s="44" t="n"/>
      <c r="H196" s="99" t="n"/>
      <c r="I196" s="99" t="n"/>
      <c r="J196" s="82" t="n"/>
      <c r="K196" s="82" t="n"/>
      <c r="L196" s="82" t="n"/>
      <c r="M196" s="82" t="n"/>
      <c r="N196" s="82" t="n"/>
      <c r="O196" s="82" t="n"/>
      <c r="P196" s="82" t="n"/>
      <c r="Q196" s="82" t="n"/>
      <c r="R196" s="82" t="n"/>
    </row>
    <row r="197" ht="22" customHeight="1">
      <c r="A197" s="38">
        <f t="array" ref="A197">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_xlpm.テスト内容数（テスト内容が空の場合は1）, IF(_xlpm.テスト内容数=0,1,_xlpm.テスト内容数),
_xlpm.詳細項目数&amp;"-"&amp;_xlpm.観点数&amp;"-"&amp;_xlpm.テスト内容数（テスト内容が空の場合は1）
)</f>
        <v/>
      </c>
      <c r="B197" s="58" t="n"/>
      <c r="C197" s="288" t="n"/>
      <c r="D197" s="41" t="n"/>
      <c r="E197" s="41" t="n"/>
      <c r="F197" s="99" t="inlineStr">
        <is>
          <t>ヘッダの返信先（Reply-to）に［メール設計書の記載通りの値］が設定されること。</t>
        </is>
      </c>
      <c r="G197" s="44" t="n"/>
      <c r="H197" s="99" t="n"/>
      <c r="I197" s="99" t="n"/>
      <c r="J197" s="82" t="n"/>
      <c r="K197" s="82" t="n"/>
      <c r="L197" s="82" t="n"/>
      <c r="M197" s="82" t="n"/>
      <c r="N197" s="82" t="n"/>
      <c r="O197" s="82" t="n"/>
      <c r="P197" s="82" t="n"/>
      <c r="Q197" s="82" t="n"/>
      <c r="R197" s="82" t="n"/>
    </row>
    <row r="198" ht="22" customHeight="1">
      <c r="A198" s="38">
        <f t="array" ref="A198">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_xlpm.テスト内容数（テスト内容が空の場合は1）, IF(_xlpm.テスト内容数=0,1,_xlpm.テスト内容数),
_xlpm.詳細項目数&amp;"-"&amp;_xlpm.観点数&amp;"-"&amp;_xlpm.テスト内容数（テスト内容が空の場合は1）
)</f>
        <v/>
      </c>
      <c r="B198" s="58" t="n"/>
      <c r="C198" s="288" t="n"/>
      <c r="D198" s="41" t="n"/>
      <c r="E198" s="41" t="n"/>
      <c r="F198" s="99" t="inlineStr">
        <is>
          <t>ヘッダの差戻し先（Retuern-path）に［メール設計書の記載通りの値］が設定されること。</t>
        </is>
      </c>
      <c r="G198" s="44" t="n"/>
      <c r="H198" s="99" t="n"/>
      <c r="I198" s="99" t="n"/>
      <c r="J198" s="82" t="n"/>
      <c r="K198" s="82" t="n"/>
      <c r="L198" s="82" t="n"/>
      <c r="M198" s="82" t="n"/>
      <c r="N198" s="82" t="n"/>
      <c r="O198" s="82" t="n"/>
      <c r="P198" s="82" t="n"/>
      <c r="Q198" s="82" t="n"/>
      <c r="R198" s="82" t="n"/>
    </row>
    <row r="199" ht="22" customHeight="1">
      <c r="A199" s="38">
        <f t="array" ref="A199">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_xlpm.テスト内容数（テスト内容が空の場合は1）, IF(_xlpm.テスト内容数=0,1,_xlpm.テスト内容数),
_xlpm.詳細項目数&amp;"-"&amp;_xlpm.観点数&amp;"-"&amp;_xlpm.テスト内容数（テスト内容が空の場合は1）
)</f>
        <v/>
      </c>
      <c r="B199" s="58" t="n"/>
      <c r="C199" s="288" t="n"/>
      <c r="D199" s="41" t="n"/>
      <c r="E199" s="50" t="n"/>
      <c r="F199" s="99" t="inlineStr">
        <is>
          <t>ヘッダのContent-Typeに［メール設計書の記載通りの値］が設定されること。</t>
        </is>
      </c>
      <c r="G199" s="44" t="n"/>
      <c r="H199" s="99" t="n"/>
      <c r="I199" s="99" t="n"/>
      <c r="J199" s="82" t="n"/>
      <c r="K199" s="82" t="n"/>
      <c r="L199" s="82" t="n"/>
      <c r="M199" s="82" t="n"/>
      <c r="N199" s="82" t="n"/>
      <c r="O199" s="82" t="n"/>
      <c r="P199" s="82" t="n"/>
      <c r="Q199" s="82" t="n"/>
      <c r="R199" s="82" t="n"/>
    </row>
    <row r="200" ht="22" customHeight="1">
      <c r="A200" s="38">
        <f t="array" ref="A200">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_xlpm.テスト内容数（テスト内容が空の場合は1）, IF(_xlpm.テスト内容数=0,1,_xlpm.テスト内容数),
_xlpm.詳細項目数&amp;"-"&amp;_xlpm.観点数&amp;"-"&amp;_xlpm.テスト内容数（テスト内容が空の場合は1）
)</f>
        <v/>
      </c>
      <c r="B200" s="58" t="n"/>
      <c r="C200" s="58" t="n"/>
      <c r="D200" s="50" t="n"/>
      <c r="E200" s="50" t="inlineStr">
        <is>
          <t>エンコーディング</t>
        </is>
      </c>
      <c r="F200" s="99" t="inlineStr">
        <is>
          <t>ヘッダがエンコードされること。</t>
        </is>
      </c>
      <c r="G200" s="44" t="n"/>
      <c r="H200" s="99" t="n"/>
      <c r="I200" s="99" t="n"/>
      <c r="J200" s="82" t="n"/>
      <c r="K200" s="82" t="n"/>
      <c r="L200" s="82" t="n"/>
      <c r="M200" s="82" t="n"/>
      <c r="N200" s="82" t="n"/>
      <c r="O200" s="82" t="n"/>
      <c r="P200" s="82" t="n"/>
      <c r="Q200" s="82" t="n"/>
      <c r="R200" s="82" t="n"/>
    </row>
    <row r="201" ht="22" customHeight="1">
      <c r="A201" s="38">
        <f t="array" ref="A20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_xlpm.テスト内容数（テスト内容が空の場合は1）, IF(_xlpm.テスト内容数=0,1,_xlpm.テスト内容数),
_xlpm.詳細項目数&amp;"-"&amp;_xlpm.観点数&amp;"-"&amp;_xlpm.テスト内容数（テスト内容が空の場合は1）
)</f>
        <v/>
      </c>
      <c r="B201" s="58" t="n"/>
      <c r="C201" s="58" t="n"/>
      <c r="D201" s="41" t="inlineStr">
        <is>
          <t>件名</t>
        </is>
      </c>
      <c r="E201" s="41" t="inlineStr">
        <is>
          <t>編集仕様</t>
        </is>
      </c>
      <c r="F201" s="99" t="inlineStr">
        <is>
          <t>件名が固定の文言の場合、件名に設定された文言が［メール設計書の記載通り］であること。</t>
        </is>
      </c>
      <c r="G201" s="44" t="n"/>
      <c r="H201" s="99" t="n"/>
      <c r="I201" s="99" t="n"/>
      <c r="J201" s="82" t="n"/>
      <c r="K201" s="82" t="n"/>
      <c r="L201" s="82" t="n"/>
      <c r="M201" s="82" t="n"/>
      <c r="N201" s="82" t="n"/>
      <c r="O201" s="82" t="n"/>
      <c r="P201" s="82" t="n"/>
      <c r="Q201" s="82" t="n"/>
      <c r="R201" s="82" t="n"/>
    </row>
    <row r="202" ht="22" customHeight="1">
      <c r="A202" s="38">
        <f t="array" ref="A202">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_xlpm.テスト内容数（テスト内容が空の場合は1）, IF(_xlpm.テスト内容数=0,1,_xlpm.テスト内容数),
_xlpm.詳細項目数&amp;"-"&amp;_xlpm.観点数&amp;"-"&amp;_xlpm.テスト内容数（テスト内容が空の場合は1）
)</f>
        <v/>
      </c>
      <c r="B202" s="58" t="n"/>
      <c r="C202" s="58" t="n"/>
      <c r="D202" s="41" t="n"/>
      <c r="E202" s="41" t="n"/>
      <c r="F202" s="99" t="inlineStr">
        <is>
          <t>件名に埋め込み項目を使用する場合、件名に設定された値が［メール設計書の記載通り］であること。</t>
        </is>
      </c>
      <c r="G202" s="44" t="n"/>
      <c r="H202" s="99" t="n"/>
      <c r="I202" s="99" t="n"/>
      <c r="J202" s="82" t="n"/>
      <c r="K202" s="82" t="n"/>
      <c r="L202" s="82" t="n"/>
      <c r="M202" s="82" t="n"/>
      <c r="N202" s="82" t="n"/>
      <c r="O202" s="82" t="n"/>
      <c r="P202" s="82" t="n"/>
      <c r="Q202" s="82" t="n"/>
      <c r="R202" s="82" t="n"/>
    </row>
    <row r="203" ht="22" customHeight="1">
      <c r="A203" s="38">
        <f t="array" ref="A203">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_xlpm.テスト内容数（テスト内容が空の場合は1）, IF(_xlpm.テスト内容数=0,1,_xlpm.テスト内容数),
_xlpm.詳細項目数&amp;"-"&amp;_xlpm.観点数&amp;"-"&amp;_xlpm.テスト内容数（テスト内容が空の場合は1）
)</f>
        <v/>
      </c>
      <c r="B203" s="58" t="n"/>
      <c r="C203" s="58" t="n"/>
      <c r="D203" s="41" t="n"/>
      <c r="E203" s="41" t="n"/>
      <c r="F203" s="99" t="inlineStr">
        <is>
          <t>埋め込み必須項目が未入力の場合、エラーとなること。</t>
        </is>
      </c>
      <c r="G203" s="44" t="n"/>
      <c r="H203" s="99" t="n"/>
      <c r="I203" s="99" t="n"/>
      <c r="J203" s="82" t="n"/>
      <c r="K203" s="82" t="n"/>
      <c r="L203" s="82" t="n"/>
      <c r="M203" s="82" t="n"/>
      <c r="N203" s="82" t="n"/>
      <c r="O203" s="82" t="n"/>
      <c r="P203" s="82" t="n"/>
      <c r="Q203" s="82" t="n"/>
      <c r="R203" s="82" t="n"/>
    </row>
    <row r="204" ht="22" customHeight="1">
      <c r="A204" s="38">
        <f t="array" ref="A204">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_xlpm.テスト内容数（テスト内容が空の場合は1）, IF(_xlpm.テスト内容数=0,1,_xlpm.テスト内容数),
_xlpm.詳細項目数&amp;"-"&amp;_xlpm.観点数&amp;"-"&amp;_xlpm.テスト内容数（テスト内容が空の場合は1）
)</f>
        <v/>
      </c>
      <c r="B204" s="58" t="n"/>
      <c r="C204" s="58" t="n"/>
      <c r="D204" s="41" t="n"/>
      <c r="E204" s="41" t="n"/>
      <c r="F204" s="99" t="inlineStr">
        <is>
          <t>埋め込み任意項目が未入力の場合、エラーとならないこと。</t>
        </is>
      </c>
      <c r="G204" s="44" t="n"/>
      <c r="H204" s="99" t="n"/>
      <c r="I204" s="99" t="n"/>
      <c r="J204" s="82" t="n"/>
      <c r="K204" s="82" t="n"/>
      <c r="L204" s="82" t="n"/>
      <c r="M204" s="82" t="n"/>
      <c r="N204" s="82" t="n"/>
      <c r="O204" s="82" t="n"/>
      <c r="P204" s="82" t="n"/>
      <c r="Q204" s="82" t="n"/>
      <c r="R204" s="82" t="n"/>
    </row>
    <row r="205" ht="33" customHeight="1">
      <c r="A205" s="38">
        <f t="array" ref="A205">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_xlpm.テスト内容数（テスト内容が空の場合は1）, IF(_xlpm.テスト内容数=0,1,_xlpm.テスト内容数),
_xlpm.詳細項目数&amp;"-"&amp;_xlpm.観点数&amp;"-"&amp;_xlpm.テスト内容数（テスト内容が空の場合は1）
)</f>
        <v/>
      </c>
      <c r="B205" s="58" t="n"/>
      <c r="C205" s="58" t="n"/>
      <c r="D205" s="41" t="n"/>
      <c r="E205" s="41" t="n"/>
      <c r="F205" s="99" t="inlineStr">
        <is>
          <t>取得した値を変換する設計となっている場合、件名に設定された値が［システム機能設計書/共通コンポーネント設計書/メール設計書の記載通り］であること。</t>
        </is>
      </c>
      <c r="G205" s="44" t="n"/>
      <c r="H205" s="99" t="n"/>
      <c r="I205" s="99" t="n"/>
      <c r="J205" s="82" t="n"/>
      <c r="K205" s="82" t="n"/>
      <c r="L205" s="82" t="n"/>
      <c r="M205" s="82" t="n"/>
      <c r="N205" s="82" t="n"/>
      <c r="O205" s="82" t="n"/>
      <c r="P205" s="82" t="n"/>
      <c r="Q205" s="82" t="n"/>
      <c r="R205" s="82" t="n"/>
    </row>
    <row r="206" ht="33" customHeight="1">
      <c r="A206" s="38">
        <f t="array" ref="A206">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_xlpm.テスト内容数（テスト内容が空の場合は1）, IF(_xlpm.テスト内容数=0,1,_xlpm.テスト内容数),
_xlpm.詳細項目数&amp;"-"&amp;_xlpm.観点数&amp;"-"&amp;_xlpm.テスト内容数（テスト内容が空の場合は1）
)</f>
        <v/>
      </c>
      <c r="B206" s="58" t="n"/>
      <c r="C206" s="58" t="n"/>
      <c r="D206" s="41" t="n"/>
      <c r="E206" s="41" t="n"/>
      <c r="F206" s="99" t="inlineStr">
        <is>
          <t>取得した値を編集する処理が分岐する設計となっている場合、件名に設定された値が［システム機能設計書/共通コンポーネント設計書/メール設計書の記載通り］であること。</t>
        </is>
      </c>
      <c r="G206" s="44" t="n"/>
      <c r="H206" s="99" t="n"/>
      <c r="I206" s="99" t="n"/>
      <c r="J206" s="82" t="n"/>
      <c r="K206" s="82" t="n"/>
      <c r="L206" s="82" t="n"/>
      <c r="M206" s="82" t="n"/>
      <c r="N206" s="82" t="n"/>
      <c r="O206" s="82" t="n"/>
      <c r="P206" s="82" t="n"/>
      <c r="Q206" s="82" t="n"/>
      <c r="R206" s="82" t="n"/>
    </row>
    <row r="207" ht="44" customHeight="1">
      <c r="A207" s="38">
        <f t="array" ref="A207">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_xlpm.テスト内容数（テスト内容が空の場合は1）, IF(_xlpm.テスト内容数=0,1,_xlpm.テスト内容数),
_xlpm.詳細項目数&amp;"-"&amp;_xlpm.観点数&amp;"-"&amp;_xlpm.テスト内容数（テスト内容が空の場合は1）
)</f>
        <v/>
      </c>
      <c r="B207" s="58" t="n"/>
      <c r="C207" s="58" t="n"/>
      <c r="D207" s="41" t="n"/>
      <c r="E207" s="41" t="n"/>
      <c r="F207" s="99" t="inlineStr">
        <is>
          <t>ループ処理によって、取得した値の編集を繰り返す設計となっている場合、件名に設定された値が［システム機能設計書/共通コンポーネント設計書/メール設計書の記載通り］であること。</t>
        </is>
      </c>
      <c r="G207" s="44" t="n"/>
      <c r="H207" s="99" t="n"/>
      <c r="I207" s="99" t="n"/>
      <c r="J207" s="82" t="n"/>
      <c r="K207" s="82" t="n"/>
      <c r="L207" s="82" t="n"/>
      <c r="M207" s="82" t="n"/>
      <c r="N207" s="82" t="n"/>
      <c r="O207" s="82" t="n"/>
      <c r="P207" s="82" t="n"/>
      <c r="Q207" s="82" t="n"/>
      <c r="R207" s="82" t="n"/>
    </row>
    <row r="208" ht="33" customHeight="1">
      <c r="A208" s="38">
        <f t="array" ref="A208">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_xlpm.テスト内容数（テスト内容が空の場合は1）, IF(_xlpm.テスト内容数=0,1,_xlpm.テスト内容数),
_xlpm.詳細項目数&amp;"-"&amp;_xlpm.観点数&amp;"-"&amp;_xlpm.テスト内容数（テスト内容が空の場合は1）
)</f>
        <v/>
      </c>
      <c r="B208" s="58" t="n"/>
      <c r="C208" s="58" t="n"/>
      <c r="D208" s="41" t="n"/>
      <c r="E208" s="41" t="n"/>
      <c r="F208" s="99" t="inlineStr">
        <is>
          <t>取得した値を使用して計算する設計となっている場合、件名に設定された値が［システム機能設計書/共通コンポーネント設計書/メール設計書の記載通り］であること。</t>
        </is>
      </c>
      <c r="G208" s="44" t="n"/>
      <c r="H208" s="99" t="n"/>
      <c r="I208" s="99" t="n"/>
      <c r="J208" s="82" t="n"/>
      <c r="K208" s="82" t="n"/>
      <c r="L208" s="82" t="n"/>
      <c r="M208" s="82" t="n"/>
      <c r="N208" s="82" t="n"/>
      <c r="O208" s="82" t="n"/>
      <c r="P208" s="82" t="n"/>
      <c r="Q208" s="82" t="n"/>
      <c r="R208" s="82" t="n"/>
    </row>
    <row r="209" ht="33" customHeight="1">
      <c r="A209" s="38">
        <f t="array" ref="A209">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_xlpm.テスト内容数（テスト内容が空の場合は1）, IF(_xlpm.テスト内容数=0,1,_xlpm.テスト内容数),
_xlpm.詳細項目数&amp;"-"&amp;_xlpm.観点数&amp;"-"&amp;_xlpm.テスト内容数（テスト内容が空の場合は1）
)</f>
        <v/>
      </c>
      <c r="B209" s="58" t="n"/>
      <c r="C209" s="58" t="n"/>
      <c r="D209" s="41" t="n"/>
      <c r="E209" s="41" t="n"/>
      <c r="F209" s="99" t="inlineStr">
        <is>
          <t>取得した値を連結する設計となっている場合、件名に設定された値が［システム機能設計書/共通コンポーネント設計書/メール設計書の記載通り］であること。</t>
        </is>
      </c>
      <c r="G209" s="44" t="n"/>
      <c r="H209" s="99" t="n"/>
      <c r="I209" s="99" t="n"/>
      <c r="J209" s="82" t="n"/>
      <c r="K209" s="82" t="n"/>
      <c r="L209" s="82" t="n"/>
      <c r="M209" s="82" t="n"/>
      <c r="N209" s="82" t="n"/>
      <c r="O209" s="82" t="n"/>
      <c r="P209" s="82" t="n"/>
      <c r="Q209" s="82" t="n"/>
      <c r="R209" s="82" t="n"/>
    </row>
    <row r="210" ht="22" customHeight="1">
      <c r="A210" s="38">
        <f t="array" ref="A210">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_xlpm.テスト内容数（テスト内容が空の場合は1）, IF(_xlpm.テスト内容数=0,1,_xlpm.テスト内容数),
_xlpm.詳細項目数&amp;"-"&amp;_xlpm.観点数&amp;"-"&amp;_xlpm.テスト内容数（テスト内容が空の場合は1）
)</f>
        <v/>
      </c>
      <c r="B210" s="58" t="n"/>
      <c r="C210" s="58" t="n"/>
      <c r="D210" s="41" t="n"/>
      <c r="E210" s="41" t="n"/>
      <c r="F210" s="99" t="inlineStr">
        <is>
          <t>取得した値を暗号化する設計となっている場合、件名に設定された値が暗号化されること。</t>
        </is>
      </c>
      <c r="G210" s="44" t="n"/>
      <c r="H210" s="99" t="n"/>
      <c r="I210" s="99" t="n"/>
      <c r="J210" s="82" t="n"/>
      <c r="K210" s="82" t="n"/>
      <c r="L210" s="82" t="n"/>
      <c r="M210" s="82" t="n"/>
      <c r="N210" s="82" t="n"/>
      <c r="O210" s="82" t="n"/>
      <c r="P210" s="82" t="n"/>
      <c r="Q210" s="82" t="n"/>
      <c r="R210" s="82" t="n"/>
    </row>
    <row r="211" ht="22" customHeight="1">
      <c r="A211" s="38">
        <f t="array" ref="A21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_xlpm.テスト内容数（テスト内容が空の場合は1）, IF(_xlpm.テスト内容数=0,1,_xlpm.テスト内容数),
_xlpm.詳細項目数&amp;"-"&amp;_xlpm.観点数&amp;"-"&amp;_xlpm.テスト内容数（テスト内容が空の場合は1）
)</f>
        <v/>
      </c>
      <c r="B211" s="58" t="n"/>
      <c r="C211" s="58" t="n"/>
      <c r="D211" s="41" t="n"/>
      <c r="E211" s="41" t="n"/>
      <c r="F211" s="99" t="inlineStr">
        <is>
          <t>取得した値をマスキングする設計となっている場合、件名に設定された値がマスキングされること。</t>
        </is>
      </c>
      <c r="G211" s="44" t="n"/>
      <c r="H211" s="99" t="n"/>
      <c r="I211" s="99" t="n"/>
      <c r="J211" s="82" t="n"/>
      <c r="K211" s="82" t="n"/>
      <c r="L211" s="82" t="n"/>
      <c r="M211" s="82" t="n"/>
      <c r="N211" s="82" t="n"/>
      <c r="O211" s="82" t="n"/>
      <c r="P211" s="82" t="n"/>
      <c r="Q211" s="82" t="n"/>
      <c r="R211" s="82" t="n"/>
    </row>
    <row r="212" ht="33" customHeight="1">
      <c r="A212" s="38">
        <f t="array" ref="A212">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_xlpm.テスト内容数（テスト内容が空の場合は1）, IF(_xlpm.テスト内容数=0,1,_xlpm.テスト内容数),
_xlpm.詳細項目数&amp;"-"&amp;_xlpm.観点数&amp;"-"&amp;_xlpm.テスト内容数（テスト内容が空の場合は1）
)</f>
        <v/>
      </c>
      <c r="B212" s="58" t="n"/>
      <c r="C212" s="58" t="n"/>
      <c r="D212" s="41" t="n"/>
      <c r="E212" s="41" t="n"/>
      <c r="F212" s="99" t="inlineStr">
        <is>
          <t>取得した値に改行、タブ、メタキャラクタが含まれる場合、件名に設定された値がエンコーディング、サニタイジングされること。</t>
        </is>
      </c>
      <c r="G212" s="44" t="n"/>
      <c r="H212" s="99" t="n"/>
      <c r="I212" s="99" t="n"/>
      <c r="J212" s="82" t="n"/>
      <c r="K212" s="82" t="n"/>
      <c r="L212" s="82" t="n"/>
      <c r="M212" s="82" t="n"/>
      <c r="N212" s="82" t="n"/>
      <c r="O212" s="82" t="n"/>
      <c r="P212" s="82" t="n"/>
      <c r="Q212" s="82" t="n"/>
      <c r="R212" s="82" t="n"/>
    </row>
    <row r="213" ht="22" customHeight="1">
      <c r="A213" s="38">
        <f t="array" ref="A213">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_xlpm.テスト内容数（テスト内容が空の場合は1）, IF(_xlpm.テスト内容数=0,1,_xlpm.テスト内容数),
_xlpm.詳細項目数&amp;"-"&amp;_xlpm.観点数&amp;"-"&amp;_xlpm.テスト内容数（テスト内容が空の場合は1）
)</f>
        <v/>
      </c>
      <c r="B213" s="41" t="n"/>
      <c r="C213" s="58" t="n"/>
      <c r="D213" s="50" t="n"/>
      <c r="E213" s="50" t="n"/>
      <c r="F213" s="99" t="inlineStr">
        <is>
          <t>埋め込み項目の編集仕様が［メール設計書の記載通り］であること。</t>
        </is>
      </c>
      <c r="G213" s="44" t="n"/>
      <c r="H213" s="99" t="n"/>
      <c r="I213" s="99" t="n"/>
      <c r="J213" s="82" t="n"/>
      <c r="K213" s="82" t="n"/>
      <c r="L213" s="82" t="n"/>
      <c r="M213" s="82" t="n"/>
      <c r="N213" s="82" t="n"/>
      <c r="O213" s="82" t="n"/>
      <c r="P213" s="82" t="n"/>
      <c r="Q213" s="82" t="n"/>
      <c r="R213" s="82" t="n"/>
    </row>
    <row r="214" ht="22" customHeight="1">
      <c r="A214" s="38">
        <f t="array" ref="A214">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_xlpm.テスト内容数（テスト内容が空の場合は1）, IF(_xlpm.テスト内容数=0,1,_xlpm.テスト内容数),
_xlpm.詳細項目数&amp;"-"&amp;_xlpm.観点数&amp;"-"&amp;_xlpm.テスト内容数（テスト内容が空の場合は1）
)</f>
        <v/>
      </c>
      <c r="B214" s="41" t="n"/>
      <c r="C214" s="58" t="n"/>
      <c r="D214" s="40" t="inlineStr">
        <is>
          <t>本文</t>
        </is>
      </c>
      <c r="E214" s="40" t="inlineStr">
        <is>
          <t>編集仕様</t>
        </is>
      </c>
      <c r="F214" s="99" t="inlineStr">
        <is>
          <t>本文が固定の文言の場合、本文に設定された文言が［メール設計書の記載通り］であること。</t>
        </is>
      </c>
      <c r="G214" s="44" t="n"/>
      <c r="H214" s="99" t="n"/>
      <c r="I214" s="99" t="n"/>
      <c r="J214" s="82" t="n"/>
      <c r="K214" s="82" t="n"/>
      <c r="L214" s="82" t="n"/>
      <c r="M214" s="82" t="n"/>
      <c r="N214" s="82" t="n"/>
      <c r="O214" s="82" t="n"/>
      <c r="P214" s="82" t="n"/>
      <c r="Q214" s="82" t="n"/>
      <c r="R214" s="82" t="n"/>
    </row>
    <row r="215" ht="22" customHeight="1">
      <c r="A215" s="38">
        <f t="array" ref="A215">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_xlpm.テスト内容数（テスト内容が空の場合は1）, IF(_xlpm.テスト内容数=0,1,_xlpm.テスト内容数),
_xlpm.詳細項目数&amp;"-"&amp;_xlpm.観点数&amp;"-"&amp;_xlpm.テスト内容数（テスト内容が空の場合は1）
)</f>
        <v/>
      </c>
      <c r="B215" s="58" t="n"/>
      <c r="C215" s="58" t="n"/>
      <c r="D215" s="41" t="n"/>
      <c r="E215" s="41" t="n"/>
      <c r="F215" s="99" t="inlineStr">
        <is>
          <t>本文に埋め込み項目を使用する場合、本文に設定された値が［メール設計書の記載通り］であること。</t>
        </is>
      </c>
      <c r="G215" s="44" t="n"/>
      <c r="H215" s="99" t="n"/>
      <c r="I215" s="99" t="n"/>
      <c r="J215" s="82" t="n"/>
      <c r="K215" s="82" t="n"/>
      <c r="L215" s="82" t="n"/>
      <c r="M215" s="82" t="n"/>
      <c r="N215" s="82" t="n"/>
      <c r="O215" s="82" t="n"/>
      <c r="P215" s="82" t="n"/>
      <c r="Q215" s="82" t="n"/>
      <c r="R215" s="82" t="n"/>
    </row>
    <row r="216" ht="22" customHeight="1">
      <c r="A216" s="38">
        <f t="array" ref="A216">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_xlpm.テスト内容数（テスト内容が空の場合は1）, IF(_xlpm.テスト内容数=0,1,_xlpm.テスト内容数),
_xlpm.詳細項目数&amp;"-"&amp;_xlpm.観点数&amp;"-"&amp;_xlpm.テスト内容数（テスト内容が空の場合は1）
)</f>
        <v/>
      </c>
      <c r="B216" s="58" t="n"/>
      <c r="C216" s="58" t="n"/>
      <c r="D216" s="41" t="n"/>
      <c r="E216" s="41" t="n"/>
      <c r="F216" s="99" t="inlineStr">
        <is>
          <t>本文のデザインが［メール設計書の記載通り］であること。</t>
        </is>
      </c>
      <c r="G216" s="44" t="n"/>
      <c r="H216" s="99" t="n"/>
      <c r="I216" s="99" t="n"/>
      <c r="J216" s="82" t="n"/>
      <c r="K216" s="82" t="n"/>
      <c r="L216" s="82" t="n"/>
      <c r="M216" s="82" t="n"/>
      <c r="N216" s="82" t="n"/>
      <c r="O216" s="82" t="n"/>
      <c r="P216" s="82" t="n"/>
      <c r="Q216" s="82" t="n"/>
      <c r="R216" s="82" t="n"/>
    </row>
    <row r="217" ht="22" customHeight="1">
      <c r="A217" s="38">
        <f t="array" ref="A217">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_xlpm.テスト内容数（テスト内容が空の場合は1）, IF(_xlpm.テスト内容数=0,1,_xlpm.テスト内容数),
_xlpm.詳細項目数&amp;"-"&amp;_xlpm.観点数&amp;"-"&amp;_xlpm.テスト内容数（テスト内容が空の場合は1）
)</f>
        <v/>
      </c>
      <c r="B217" s="58" t="n"/>
      <c r="C217" s="58" t="n"/>
      <c r="D217" s="41" t="n"/>
      <c r="E217" s="41" t="n"/>
      <c r="F217" s="99" t="inlineStr">
        <is>
          <t>埋め込み必須項目が未入力の場合、エラーとなること。</t>
        </is>
      </c>
      <c r="G217" s="44" t="n"/>
      <c r="H217" s="99" t="n"/>
      <c r="I217" s="99" t="n"/>
      <c r="J217" s="82" t="n"/>
      <c r="K217" s="82" t="n"/>
      <c r="L217" s="82" t="n"/>
      <c r="M217" s="82" t="n"/>
      <c r="N217" s="82" t="n"/>
      <c r="O217" s="82" t="n"/>
      <c r="P217" s="82" t="n"/>
      <c r="Q217" s="82" t="n"/>
      <c r="R217" s="82" t="n"/>
    </row>
    <row r="218" ht="22" customHeight="1">
      <c r="A218" s="38">
        <f t="array" ref="A218">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_xlpm.テスト内容数（テスト内容が空の場合は1）, IF(_xlpm.テスト内容数=0,1,_xlpm.テスト内容数),
_xlpm.詳細項目数&amp;"-"&amp;_xlpm.観点数&amp;"-"&amp;_xlpm.テスト内容数（テスト内容が空の場合は1）
)</f>
        <v/>
      </c>
      <c r="B218" s="58" t="n"/>
      <c r="C218" s="58" t="n"/>
      <c r="D218" s="41" t="n"/>
      <c r="E218" s="41" t="n"/>
      <c r="F218" s="99" t="inlineStr">
        <is>
          <t>埋め込み任意項目が未入力の場合、エラーとならないこと。</t>
        </is>
      </c>
      <c r="G218" s="44" t="n"/>
      <c r="H218" s="99" t="n"/>
      <c r="I218" s="99" t="n"/>
      <c r="J218" s="82" t="n"/>
      <c r="K218" s="82" t="n"/>
      <c r="L218" s="82" t="n"/>
      <c r="M218" s="82" t="n"/>
      <c r="N218" s="82" t="n"/>
      <c r="O218" s="82" t="n"/>
      <c r="P218" s="82" t="n"/>
      <c r="Q218" s="82" t="n"/>
      <c r="R218" s="82" t="n"/>
    </row>
    <row r="219" ht="44" customHeight="1">
      <c r="A219" s="38">
        <f t="array" ref="A219">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_xlpm.テスト内容数（テスト内容が空の場合は1）, IF(_xlpm.テスト内容数=0,1,_xlpm.テスト内容数),
_xlpm.詳細項目数&amp;"-"&amp;_xlpm.観点数&amp;"-"&amp;_xlpm.テスト内容数（テスト内容が空の場合は1）
)</f>
        <v/>
      </c>
      <c r="B219" s="58" t="n"/>
      <c r="C219" s="58" t="n"/>
      <c r="D219" s="41" t="n"/>
      <c r="E219" s="41" t="n"/>
      <c r="F219" s="99" t="inlineStr">
        <is>
          <t>本文にエラーメッセージを出力する場合、本文に出力されたメッセージが［システム機能設計書/共通コンポーネント設計書/メール設計書/メッセージ設計書の記載通り］であること。</t>
        </is>
      </c>
      <c r="G219" s="44" t="n"/>
      <c r="H219" s="99" t="n"/>
      <c r="I219" s="99" t="n"/>
      <c r="J219" s="82" t="n"/>
      <c r="K219" s="82" t="n"/>
      <c r="L219" s="82" t="n"/>
      <c r="M219" s="82" t="n"/>
      <c r="N219" s="82" t="n"/>
      <c r="O219" s="82" t="n"/>
      <c r="P219" s="82" t="n"/>
      <c r="Q219" s="82" t="n"/>
      <c r="R219" s="82" t="n"/>
    </row>
    <row r="220" ht="33" customHeight="1">
      <c r="A220" s="38">
        <f t="array" ref="A220">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_xlpm.テスト内容数（テスト内容が空の場合は1）, IF(_xlpm.テスト内容数=0,1,_xlpm.テスト内容数),
_xlpm.詳細項目数&amp;"-"&amp;_xlpm.観点数&amp;"-"&amp;_xlpm.テスト内容数（テスト内容が空の場合は1）
)</f>
        <v/>
      </c>
      <c r="B220" s="58" t="n"/>
      <c r="C220" s="58" t="n"/>
      <c r="D220" s="41" t="n"/>
      <c r="E220" s="41" t="n"/>
      <c r="F220" s="99" t="inlineStr">
        <is>
          <t>取得した値を変換する設計となっている場合、本文に設定された値が［システム機能設計書/共通コンポーネント設計書/メール設計書の記載通り］であること。</t>
        </is>
      </c>
      <c r="G220" s="44" t="n"/>
      <c r="H220" s="99" t="n"/>
      <c r="I220" s="99" t="n"/>
      <c r="J220" s="82" t="n"/>
      <c r="K220" s="82" t="n"/>
      <c r="L220" s="82" t="n"/>
      <c r="M220" s="82" t="n"/>
      <c r="N220" s="82" t="n"/>
      <c r="O220" s="82" t="n"/>
      <c r="P220" s="82" t="n"/>
      <c r="Q220" s="82" t="n"/>
      <c r="R220" s="82" t="n"/>
    </row>
    <row r="221" ht="33" customHeight="1">
      <c r="A221" s="38">
        <f t="array" ref="A22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_xlpm.テスト内容数（テスト内容が空の場合は1）, IF(_xlpm.テスト内容数=0,1,_xlpm.テスト内容数),
_xlpm.詳細項目数&amp;"-"&amp;_xlpm.観点数&amp;"-"&amp;_xlpm.テスト内容数（テスト内容が空の場合は1）
)</f>
        <v/>
      </c>
      <c r="B221" s="58" t="n"/>
      <c r="C221" s="58" t="n"/>
      <c r="D221" s="41" t="n"/>
      <c r="E221" s="41" t="n"/>
      <c r="F221" s="99" t="inlineStr">
        <is>
          <t>取得した値を編集する処理が分岐する設計となっている場合、本文に設定された値が［システム機能設計書/共通コンポーネント設計書/メール設計書の記載通り］であること。</t>
        </is>
      </c>
      <c r="G221" s="44" t="n"/>
      <c r="H221" s="99" t="n"/>
      <c r="I221" s="99" t="n"/>
      <c r="J221" s="82" t="n"/>
      <c r="K221" s="82" t="n"/>
      <c r="L221" s="82" t="n"/>
      <c r="M221" s="82" t="n"/>
      <c r="N221" s="82" t="n"/>
      <c r="O221" s="82" t="n"/>
      <c r="P221" s="82" t="n"/>
      <c r="Q221" s="82" t="n"/>
      <c r="R221" s="82" t="n"/>
    </row>
    <row r="222" ht="44" customHeight="1">
      <c r="A222" s="38">
        <f t="array" ref="A222">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_xlpm.テスト内容数（テスト内容が空の場合は1）, IF(_xlpm.テスト内容数=0,1,_xlpm.テスト内容数),
_xlpm.詳細項目数&amp;"-"&amp;_xlpm.観点数&amp;"-"&amp;_xlpm.テスト内容数（テスト内容が空の場合は1）
)</f>
        <v/>
      </c>
      <c r="B222" s="58" t="n"/>
      <c r="C222" s="58" t="n"/>
      <c r="D222" s="41" t="n"/>
      <c r="E222" s="41" t="n"/>
      <c r="F222" s="99" t="inlineStr">
        <is>
          <t>ループ処理によって、取得した値の編集を繰り返す設計となっている場合、本文に設定された値が［システム機能設計書/共通コンポーネント設計書/メール設計書の記載通り］であること。</t>
        </is>
      </c>
      <c r="G222" s="44" t="n"/>
      <c r="H222" s="99" t="n"/>
      <c r="I222" s="99" t="n"/>
      <c r="J222" s="82" t="n"/>
      <c r="K222" s="82" t="n"/>
      <c r="L222" s="82" t="n"/>
      <c r="M222" s="82" t="n"/>
      <c r="N222" s="82" t="n"/>
      <c r="O222" s="82" t="n"/>
      <c r="P222" s="82" t="n"/>
      <c r="Q222" s="82" t="n"/>
      <c r="R222" s="82" t="n"/>
    </row>
    <row r="223" ht="33" customHeight="1">
      <c r="A223" s="38">
        <f t="array" ref="A223">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_xlpm.テスト内容数（テスト内容が空の場合は1）, IF(_xlpm.テスト内容数=0,1,_xlpm.テスト内容数),
_xlpm.詳細項目数&amp;"-"&amp;_xlpm.観点数&amp;"-"&amp;_xlpm.テスト内容数（テスト内容が空の場合は1）
)</f>
        <v/>
      </c>
      <c r="B223" s="58" t="n"/>
      <c r="C223" s="58" t="n"/>
      <c r="D223" s="41" t="n"/>
      <c r="E223" s="41" t="n"/>
      <c r="F223" s="99" t="inlineStr">
        <is>
          <t>取得した値を使用して計算する設計となっている場合、本文に設定された値が［システム機能設計書/共通コンポーネント設計書/メール設計書の記載通り］であること。</t>
        </is>
      </c>
      <c r="G223" s="44" t="n"/>
      <c r="H223" s="99" t="n"/>
      <c r="I223" s="99" t="n"/>
      <c r="J223" s="82" t="n"/>
      <c r="K223" s="82" t="n"/>
      <c r="L223" s="82" t="n"/>
      <c r="M223" s="82" t="n"/>
      <c r="N223" s="82" t="n"/>
      <c r="O223" s="82" t="n"/>
      <c r="P223" s="82" t="n"/>
      <c r="Q223" s="82" t="n"/>
      <c r="R223" s="82" t="n"/>
    </row>
    <row r="224" ht="33" customHeight="1">
      <c r="A224" s="38">
        <f t="array" ref="A224">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_xlpm.テスト内容数（テスト内容が空の場合は1）, IF(_xlpm.テスト内容数=0,1,_xlpm.テスト内容数),
_xlpm.詳細項目数&amp;"-"&amp;_xlpm.観点数&amp;"-"&amp;_xlpm.テスト内容数（テスト内容が空の場合は1）
)</f>
        <v/>
      </c>
      <c r="B224" s="58" t="n"/>
      <c r="C224" s="58" t="n"/>
      <c r="D224" s="41" t="n"/>
      <c r="E224" s="41" t="n"/>
      <c r="F224" s="99" t="inlineStr">
        <is>
          <t>取得した値を連結する設計となっている場合、本文に設定された値が［システム機能設計書/共通コンポーネント設計書/メール設計書の記載通り］であること。</t>
        </is>
      </c>
      <c r="G224" s="44" t="n"/>
      <c r="H224" s="99" t="n"/>
      <c r="I224" s="99" t="n"/>
      <c r="J224" s="82" t="n"/>
      <c r="K224" s="82" t="n"/>
      <c r="L224" s="82" t="n"/>
      <c r="M224" s="82" t="n"/>
      <c r="N224" s="82" t="n"/>
      <c r="O224" s="82" t="n"/>
      <c r="P224" s="82" t="n"/>
      <c r="Q224" s="82" t="n"/>
      <c r="R224" s="82" t="n"/>
    </row>
    <row r="225" ht="22" customHeight="1">
      <c r="A225" s="38">
        <f t="array" ref="A225">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_xlpm.テスト内容数（テスト内容が空の場合は1）, IF(_xlpm.テスト内容数=0,1,_xlpm.テスト内容数),
_xlpm.詳細項目数&amp;"-"&amp;_xlpm.観点数&amp;"-"&amp;_xlpm.テスト内容数（テスト内容が空の場合は1）
)</f>
        <v/>
      </c>
      <c r="B225" s="58" t="n"/>
      <c r="C225" s="58" t="n"/>
      <c r="D225" s="41" t="n"/>
      <c r="E225" s="41" t="n"/>
      <c r="F225" s="99" t="inlineStr">
        <is>
          <t>取得した値を暗号化する設計となっている場合、本文に設定された値が暗号化されること。</t>
        </is>
      </c>
      <c r="G225" s="44" t="n"/>
      <c r="H225" s="99" t="n"/>
      <c r="I225" s="99" t="n"/>
      <c r="J225" s="82" t="n"/>
      <c r="K225" s="82" t="n"/>
      <c r="L225" s="82" t="n"/>
      <c r="M225" s="82" t="n"/>
      <c r="N225" s="82" t="n"/>
      <c r="O225" s="82" t="n"/>
      <c r="P225" s="82" t="n"/>
      <c r="Q225" s="82" t="n"/>
      <c r="R225" s="82" t="n"/>
    </row>
    <row r="226" ht="22" customHeight="1">
      <c r="A226" s="38">
        <f t="array" ref="A226">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_xlpm.テスト内容数（テスト内容が空の場合は1）, IF(_xlpm.テスト内容数=0,1,_xlpm.テスト内容数),
_xlpm.詳細項目数&amp;"-"&amp;_xlpm.観点数&amp;"-"&amp;_xlpm.テスト内容数（テスト内容が空の場合は1）
)</f>
        <v/>
      </c>
      <c r="B226" s="58" t="n"/>
      <c r="C226" s="58" t="n"/>
      <c r="D226" s="41" t="n"/>
      <c r="E226" s="41" t="n"/>
      <c r="F226" s="99" t="inlineStr">
        <is>
          <t>取得した値をマスキングする設計となっている場合、本文に設定された値がマスキングされること。</t>
        </is>
      </c>
      <c r="G226" s="44" t="n"/>
      <c r="H226" s="99" t="n"/>
      <c r="I226" s="99" t="n"/>
      <c r="J226" s="82" t="n"/>
      <c r="K226" s="82" t="n"/>
      <c r="L226" s="82" t="n"/>
      <c r="M226" s="82" t="n"/>
      <c r="N226" s="82" t="n"/>
      <c r="O226" s="82" t="n"/>
      <c r="P226" s="82" t="n"/>
      <c r="Q226" s="82" t="n"/>
      <c r="R226" s="82" t="n"/>
    </row>
    <row r="227" ht="33" customHeight="1">
      <c r="A227" s="38">
        <f t="array" ref="A227">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_xlpm.テスト内容数（テスト内容が空の場合は1）, IF(_xlpm.テスト内容数=0,1,_xlpm.テスト内容数),
_xlpm.詳細項目数&amp;"-"&amp;_xlpm.観点数&amp;"-"&amp;_xlpm.テスト内容数（テスト内容が空の場合は1）
)</f>
        <v/>
      </c>
      <c r="B227" s="58" t="n"/>
      <c r="C227" s="58" t="n"/>
      <c r="D227" s="41" t="n"/>
      <c r="E227" s="41" t="n"/>
      <c r="F227" s="99" t="inlineStr">
        <is>
          <t>取得した値に改行、タブ、メタキャラクタが含まれる場合、本文に設定された値がエンコーディング、サニタイジングされること。</t>
        </is>
      </c>
      <c r="G227" s="44" t="n"/>
      <c r="H227" s="99" t="n"/>
      <c r="I227" s="99" t="n"/>
      <c r="J227" s="82" t="n"/>
      <c r="K227" s="82" t="n"/>
      <c r="L227" s="82" t="n"/>
      <c r="M227" s="82" t="n"/>
      <c r="N227" s="82" t="n"/>
      <c r="O227" s="82" t="n"/>
      <c r="P227" s="82" t="n"/>
      <c r="Q227" s="82" t="n"/>
      <c r="R227" s="82" t="n"/>
    </row>
    <row r="228" ht="22" customHeight="1">
      <c r="A228" s="38">
        <f t="array" ref="A228">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_xlpm.テスト内容数（テスト内容が空の場合は1）, IF(_xlpm.テスト内容数=0,1,_xlpm.テスト内容数),
_xlpm.詳細項目数&amp;"-"&amp;_xlpm.観点数&amp;"-"&amp;_xlpm.テスト内容数（テスト内容が空の場合は1）
)</f>
        <v/>
      </c>
      <c r="B228" s="58" t="n"/>
      <c r="C228" s="58" t="n"/>
      <c r="D228" s="41" t="n"/>
      <c r="E228" s="50" t="n"/>
      <c r="F228" s="99" t="inlineStr">
        <is>
          <t>埋め込み項目の編集仕様が［メール設計書の記載通り］であること。</t>
        </is>
      </c>
      <c r="G228" s="44" t="n"/>
      <c r="H228" s="99" t="n"/>
      <c r="I228" s="99" t="n"/>
      <c r="J228" s="82" t="n"/>
      <c r="K228" s="82" t="n"/>
      <c r="L228" s="82" t="n"/>
      <c r="M228" s="82" t="n"/>
      <c r="N228" s="82" t="n"/>
      <c r="O228" s="82" t="n"/>
      <c r="P228" s="82" t="n"/>
      <c r="Q228" s="82" t="n"/>
      <c r="R228" s="82" t="n"/>
    </row>
    <row r="229" ht="44" customHeight="1">
      <c r="A229" s="38">
        <f t="array" ref="A229">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_xlpm.テスト内容数（テスト内容が空の場合は1）, IF(_xlpm.テスト内容数=0,1,_xlpm.テスト内容数),
_xlpm.詳細項目数&amp;"-"&amp;_xlpm.観点数&amp;"-"&amp;_xlpm.テスト内容数（テスト内容が空の場合は1）
)</f>
        <v/>
      </c>
      <c r="B229" s="58" t="n"/>
      <c r="C229" s="58" t="n"/>
      <c r="D229" s="41" t="n"/>
      <c r="E229" s="41" t="inlineStr">
        <is>
          <t>データ件数</t>
        </is>
      </c>
      <c r="F229" s="99" t="inlineStr">
        <is>
          <t>1通のメールに埋め込み項目などを複数件繰り返し出力し、その最大件数が決まっている場合、最大件数分の値を出力した結果が［システム機能設計書/共通コンポーネント設計書の記載通り］であること。</t>
        </is>
      </c>
      <c r="G229" s="44" t="n"/>
      <c r="H229" s="99" t="n"/>
      <c r="I229" s="99" t="n"/>
      <c r="J229" s="82" t="n"/>
      <c r="K229" s="82" t="n"/>
      <c r="L229" s="82" t="n"/>
      <c r="M229" s="82" t="n"/>
      <c r="N229" s="82" t="n"/>
      <c r="O229" s="82" t="n"/>
      <c r="P229" s="82" t="n"/>
      <c r="Q229" s="82" t="n"/>
      <c r="R229" s="82" t="n"/>
    </row>
    <row r="230" ht="44" customHeight="1">
      <c r="A230" s="38">
        <f t="array" ref="A230">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_xlpm.テスト内容数（テスト内容が空の場合は1）, IF(_xlpm.テスト内容数=0,1,_xlpm.テスト内容数),
_xlpm.詳細項目数&amp;"-"&amp;_xlpm.観点数&amp;"-"&amp;_xlpm.テスト内容数（テスト内容が空の場合は1）
)</f>
        <v/>
      </c>
      <c r="B230" s="58" t="n"/>
      <c r="C230" s="58" t="n"/>
      <c r="D230" s="41" t="n"/>
      <c r="E230" s="41" t="n"/>
      <c r="F230" s="99" t="inlineStr">
        <is>
          <t>1通のメールに埋め込み項目などを複数件繰り返し出力し、その最大件数が決まっている場合、最大件数＋1件分の値を出力した結果が［システム機能設計書/共通コンポーネント設計書の記載通り］であること。</t>
        </is>
      </c>
      <c r="G230" s="44" t="n"/>
      <c r="H230" s="99" t="n"/>
      <c r="I230" s="99" t="n"/>
      <c r="J230" s="82" t="n"/>
      <c r="K230" s="82" t="n"/>
      <c r="L230" s="82" t="n"/>
      <c r="M230" s="82" t="n"/>
      <c r="N230" s="82" t="n"/>
      <c r="O230" s="82" t="n"/>
      <c r="P230" s="82" t="n"/>
      <c r="Q230" s="82" t="n"/>
      <c r="R230" s="82" t="n"/>
    </row>
    <row r="231" ht="33" customHeight="1">
      <c r="A231" s="38">
        <f t="array" ref="A23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_xlpm.テスト内容数（テスト内容が空の場合は1）, IF(_xlpm.テスト内容数=0,1,_xlpm.テスト内容数),
_xlpm.詳細項目数&amp;"-"&amp;_xlpm.観点数&amp;"-"&amp;_xlpm.テスト内容数（テスト内容が空の場合は1）
)</f>
        <v/>
      </c>
      <c r="B231" s="58" t="n"/>
      <c r="C231" s="58" t="n"/>
      <c r="D231" s="41" t="n"/>
      <c r="E231" s="50" t="n"/>
      <c r="F231" s="99" t="inlineStr">
        <is>
          <t>1通のメールに埋め込み項目などを複数件繰り返し出力する処理で、出力対象が0件の場合、［システム機能設計書/共通コンポーネント設計書の記載通りの挙動］となること。</t>
        </is>
      </c>
      <c r="G231" s="44" t="n"/>
      <c r="H231" s="99" t="n"/>
      <c r="I231" s="99" t="n"/>
      <c r="J231" s="82" t="n"/>
      <c r="K231" s="82" t="n"/>
      <c r="L231" s="82" t="n"/>
      <c r="M231" s="82" t="n"/>
      <c r="N231" s="82" t="n"/>
      <c r="O231" s="82" t="n"/>
      <c r="P231" s="82" t="n"/>
      <c r="Q231" s="82" t="n"/>
      <c r="R231" s="82" t="n"/>
    </row>
    <row r="232" ht="33" customHeight="1">
      <c r="A232" s="38">
        <f t="array" ref="A232">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_xlpm.テスト内容数（テスト内容が空の場合は1）, IF(_xlpm.テスト内容数=0,1,_xlpm.テスト内容数),
_xlpm.詳細項目数&amp;"-"&amp;_xlpm.観点数&amp;"-"&amp;_xlpm.テスト内容数（テスト内容が空の場合は1）
)</f>
        <v/>
      </c>
      <c r="B232" s="58" t="n"/>
      <c r="C232" s="58" t="n"/>
      <c r="D232" s="41" t="n"/>
      <c r="E232" s="50" t="inlineStr">
        <is>
          <t>ソート順</t>
        </is>
      </c>
      <c r="F232" s="99" t="inlineStr">
        <is>
          <t>1通のメールに埋め込み項目などを複数件繰り返し出力する設計の場合、ソート順が［システム機能設計書/共通コンポーネント設計書/メール設計書の記載通り］であること。</t>
        </is>
      </c>
      <c r="G232" s="44" t="n"/>
      <c r="H232" s="99" t="n"/>
      <c r="I232" s="99" t="n"/>
      <c r="J232" s="82" t="n"/>
      <c r="K232" s="82" t="n"/>
      <c r="L232" s="82" t="n"/>
      <c r="M232" s="82" t="n"/>
      <c r="N232" s="82" t="n"/>
      <c r="O232" s="82" t="n"/>
      <c r="P232" s="82" t="n"/>
      <c r="Q232" s="82" t="n"/>
      <c r="R232" s="82" t="n"/>
    </row>
    <row r="233" ht="22" customHeight="1">
      <c r="A233" s="38">
        <f t="array" ref="A233">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_xlpm.テスト内容数（テスト内容が空の場合は1）, IF(_xlpm.テスト内容数=0,1,_xlpm.テスト内容数),
_xlpm.詳細項目数&amp;"-"&amp;_xlpm.観点数&amp;"-"&amp;_xlpm.テスト内容数（テスト内容が空の場合は1）
)</f>
        <v/>
      </c>
      <c r="B233" s="50" t="n"/>
      <c r="C233" s="50" t="n"/>
      <c r="D233" s="50" t="n"/>
      <c r="E233" s="286" t="inlineStr">
        <is>
          <t>添付ファイル</t>
        </is>
      </c>
      <c r="F233" s="99" t="inlineStr">
        <is>
          <t>ファイルを添付する場合、指定したファイルが添付されること。</t>
        </is>
      </c>
      <c r="G233" s="44" t="n"/>
      <c r="H233" s="99" t="n"/>
      <c r="I233" s="99" t="n"/>
      <c r="J233" s="82" t="n"/>
      <c r="K233" s="82" t="n"/>
      <c r="L233" s="82" t="n"/>
      <c r="M233" s="82" t="n"/>
      <c r="N233" s="82" t="n"/>
      <c r="O233" s="82" t="n"/>
      <c r="P233" s="82" t="n"/>
      <c r="Q233" s="82" t="n"/>
      <c r="R233" s="82" t="n"/>
    </row>
    <row r="234" ht="22" customHeight="1">
      <c r="A234" s="38">
        <f t="array" ref="A234">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_xlpm.テスト内容数（テスト内容が空の場合は1）, IF(_xlpm.テスト内容数=0,1,_xlpm.テスト内容数),
_xlpm.詳細項目数&amp;"-"&amp;_xlpm.観点数&amp;"-"&amp;_xlpm.テスト内容数（テスト内容が空の場合は1）
)</f>
        <v/>
      </c>
      <c r="B234" s="40" t="inlineStr">
        <is>
          <t>受信処理</t>
        </is>
      </c>
      <c r="C234" s="40" t="inlineStr">
        <is>
          <t>実行結果</t>
        </is>
      </c>
      <c r="D234" s="40" t="inlineStr">
        <is>
          <t>-</t>
        </is>
      </c>
      <c r="E234" s="99" t="inlineStr">
        <is>
          <t>-</t>
        </is>
      </c>
      <c r="F234" s="99" t="inlineStr">
        <is>
          <t>電文が［システム機能設計書/共通コンポーネント設計書の記載通り］受信されること。</t>
        </is>
      </c>
      <c r="G234" s="99" t="n"/>
      <c r="H234" s="99" t="n"/>
      <c r="I234" s="99" t="n"/>
      <c r="J234" s="82" t="n"/>
      <c r="K234" s="82" t="n"/>
      <c r="L234" s="82" t="n"/>
      <c r="M234" s="82" t="n"/>
      <c r="N234" s="82" t="n"/>
      <c r="O234" s="82" t="n"/>
      <c r="P234" s="82" t="n"/>
      <c r="Q234" s="82" t="n"/>
      <c r="R234" s="82" t="n"/>
    </row>
    <row r="235" ht="22" customHeight="1">
      <c r="A235" s="38">
        <f t="array" ref="A235">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_xlpm.テスト内容数（テスト内容が空の場合は1）, IF(_xlpm.テスト内容数=0,1,_xlpm.テスト内容数),
_xlpm.詳細項目数&amp;"-"&amp;_xlpm.観点数&amp;"-"&amp;_xlpm.テスト内容数（テスト内容が空の場合は1）
)</f>
        <v/>
      </c>
      <c r="B235" s="58" t="n"/>
      <c r="C235" s="41" t="n"/>
      <c r="D235" s="41" t="n"/>
      <c r="E235" s="41" t="inlineStr">
        <is>
          <t>桁数</t>
        </is>
      </c>
      <c r="F235" s="99" t="inlineStr">
        <is>
          <t>受信した電文の長さが最大長の場合、エラーとならないこと。</t>
        </is>
      </c>
      <c r="G235" s="99" t="n"/>
      <c r="H235" s="99" t="n"/>
      <c r="I235" s="99" t="n"/>
      <c r="J235" s="82" t="n"/>
      <c r="K235" s="82" t="n"/>
      <c r="L235" s="82" t="n"/>
      <c r="M235" s="82" t="n"/>
      <c r="N235" s="82" t="n"/>
      <c r="O235" s="82" t="n"/>
      <c r="P235" s="82" t="n"/>
      <c r="Q235" s="82" t="n"/>
      <c r="R235" s="82" t="n"/>
    </row>
    <row r="236" ht="22" customHeight="1">
      <c r="A236" s="38">
        <f t="array" ref="A236">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_xlpm.テスト内容数（テスト内容が空の場合は1）, IF(_xlpm.テスト内容数=0,1,_xlpm.テスト内容数),
_xlpm.詳細項目数&amp;"-"&amp;_xlpm.観点数&amp;"-"&amp;_xlpm.テスト内容数（テスト内容が空の場合は1）
)</f>
        <v/>
      </c>
      <c r="B236" s="58" t="n"/>
      <c r="C236" s="41" t="n"/>
      <c r="D236" s="41" t="n"/>
      <c r="E236" s="41" t="n"/>
      <c r="F236" s="99" t="inlineStr">
        <is>
          <t>受信した電文の長さが最大長+1の場合、エラーとなること。</t>
        </is>
      </c>
      <c r="G236" s="99" t="n"/>
      <c r="H236" s="99" t="n"/>
      <c r="I236" s="99" t="n"/>
      <c r="J236" s="82" t="n"/>
      <c r="K236" s="82" t="n"/>
      <c r="L236" s="82" t="n"/>
      <c r="M236" s="82" t="n"/>
      <c r="N236" s="82" t="n"/>
      <c r="O236" s="82" t="n"/>
      <c r="P236" s="82" t="n"/>
      <c r="Q236" s="82" t="n"/>
      <c r="R236" s="82" t="n"/>
    </row>
    <row r="237" ht="22" customHeight="1">
      <c r="A237" s="38">
        <f t="array" ref="A237">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_xlpm.テスト内容数（テスト内容が空の場合は1）, IF(_xlpm.テスト内容数=0,1,_xlpm.テスト内容数),
_xlpm.詳細項目数&amp;"-"&amp;_xlpm.観点数&amp;"-"&amp;_xlpm.テスト内容数（テスト内容が空の場合は1）
)</f>
        <v/>
      </c>
      <c r="B237" s="58" t="n"/>
      <c r="C237" s="41" t="n"/>
      <c r="D237" s="41" t="n"/>
      <c r="E237" s="41" t="n"/>
      <c r="F237" s="99" t="inlineStr">
        <is>
          <t>受信した電文の長さが最小長の場合、エラーとならないこと。</t>
        </is>
      </c>
      <c r="G237" s="99" t="n"/>
      <c r="H237" s="99" t="n"/>
      <c r="I237" s="99" t="n"/>
      <c r="J237" s="82" t="n"/>
      <c r="K237" s="82" t="n"/>
      <c r="L237" s="82" t="n"/>
      <c r="M237" s="82" t="n"/>
      <c r="N237" s="82" t="n"/>
      <c r="O237" s="82" t="n"/>
      <c r="P237" s="82" t="n"/>
      <c r="Q237" s="82" t="n"/>
      <c r="R237" s="82" t="n"/>
    </row>
    <row r="238" ht="22" customHeight="1">
      <c r="A238" s="38">
        <f t="array" ref="A238">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_xlpm.テスト内容数（テスト内容が空の場合は1）, IF(_xlpm.テスト内容数=0,1,_xlpm.テスト内容数),
_xlpm.詳細項目数&amp;"-"&amp;_xlpm.観点数&amp;"-"&amp;_xlpm.テスト内容数（テスト内容が空の場合は1）
)</f>
        <v/>
      </c>
      <c r="B238" s="58" t="n"/>
      <c r="C238" s="41" t="n"/>
      <c r="D238" s="41" t="n"/>
      <c r="E238" s="41" t="n"/>
      <c r="F238" s="99" t="inlineStr">
        <is>
          <t>受信した電文の長さが最小長-1の場合、エラーとなること。</t>
        </is>
      </c>
      <c r="G238" s="99" t="n"/>
      <c r="H238" s="99" t="n"/>
      <c r="I238" s="99" t="n"/>
      <c r="J238" s="82" t="n"/>
      <c r="K238" s="82" t="n"/>
      <c r="L238" s="82" t="n"/>
      <c r="M238" s="82" t="n"/>
      <c r="N238" s="82" t="n"/>
      <c r="O238" s="82" t="n"/>
      <c r="P238" s="82" t="n"/>
      <c r="Q238" s="82" t="n"/>
      <c r="R238" s="82" t="n"/>
    </row>
    <row r="239" ht="33" customHeight="1">
      <c r="A239" s="38">
        <f t="array" ref="A239">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_xlpm.テスト内容数（テスト内容が空の場合は1）, IF(_xlpm.テスト内容数=0,1,_xlpm.テスト内容数),
_xlpm.詳細項目数&amp;"-"&amp;_xlpm.観点数&amp;"-"&amp;_xlpm.テスト内容数（テスト内容が空の場合は1）
)</f>
        <v/>
      </c>
      <c r="B239" s="58" t="n"/>
      <c r="C239" s="41" t="n"/>
      <c r="D239" s="41" t="n"/>
      <c r="E239" s="50" t="n"/>
      <c r="F239" s="99" t="inlineStr">
        <is>
          <t>サロゲートペア文字を許容する設計となっている場合、サロゲートペア文字を含む電文を受信した結果がエラーとならないこと。</t>
        </is>
      </c>
      <c r="G239" s="99" t="n"/>
      <c r="H239" s="99" t="n"/>
      <c r="I239" s="99" t="n"/>
      <c r="J239" s="82" t="n"/>
      <c r="K239" s="82" t="n"/>
      <c r="L239" s="82" t="n"/>
      <c r="M239" s="82" t="n"/>
      <c r="N239" s="82" t="n"/>
      <c r="O239" s="82" t="n"/>
      <c r="P239" s="82" t="n"/>
      <c r="Q239" s="82" t="n"/>
      <c r="R239" s="82" t="n"/>
    </row>
    <row r="240" ht="33" customHeight="1">
      <c r="A240" s="38">
        <f t="array" ref="A240">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_xlpm.テスト内容数（テスト内容が空の場合は1）, IF(_xlpm.テスト内容数=0,1,_xlpm.テスト内容数),
_xlpm.詳細項目数&amp;"-"&amp;_xlpm.観点数&amp;"-"&amp;_xlpm.テスト内容数（テスト内容が空の場合は1）
)</f>
        <v/>
      </c>
      <c r="B240" s="58" t="n"/>
      <c r="C240" s="41" t="n"/>
      <c r="D240" s="41" t="n"/>
      <c r="E240" s="41" t="inlineStr">
        <is>
          <t>レコード件数</t>
        </is>
      </c>
      <c r="F240" s="99" t="inlineStr">
        <is>
          <t>受信した電文のレコード件数が複数の場合、［システム機能設計書/共通コンポーネント設計書の記載通りの挙動］となること。</t>
        </is>
      </c>
      <c r="G240" s="99" t="n"/>
      <c r="H240" s="99" t="n"/>
      <c r="I240" s="99" t="n"/>
      <c r="J240" s="82" t="n"/>
      <c r="K240" s="82" t="n"/>
      <c r="L240" s="82" t="n"/>
      <c r="M240" s="82" t="n"/>
      <c r="N240" s="82" t="n"/>
      <c r="O240" s="82" t="n"/>
      <c r="P240" s="82" t="n"/>
      <c r="Q240" s="82" t="n"/>
      <c r="R240" s="82" t="n"/>
    </row>
    <row r="241" ht="33" customHeight="1">
      <c r="A241" s="38">
        <f t="array" ref="A24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_xlpm.テスト内容数（テスト内容が空の場合は1）, IF(_xlpm.テスト内容数=0,1,_xlpm.テスト内容数),
_xlpm.詳細項目数&amp;"-"&amp;_xlpm.観点数&amp;"-"&amp;_xlpm.テスト内容数（テスト内容が空の場合は1）
)</f>
        <v/>
      </c>
      <c r="B241" s="58" t="n"/>
      <c r="C241" s="41" t="n"/>
      <c r="D241" s="41" t="n"/>
      <c r="E241" s="41" t="n"/>
      <c r="F241" s="99" t="inlineStr">
        <is>
          <t>受信した電文のレコードが0件の場合、［システム機能設計書/共通コンポーネント設計書の記載通りの挙動］となること。</t>
        </is>
      </c>
      <c r="G241" s="99" t="n"/>
      <c r="H241" s="99" t="n"/>
      <c r="I241" s="99" t="n"/>
      <c r="J241" s="82" t="n"/>
      <c r="K241" s="82" t="n"/>
      <c r="L241" s="82" t="n"/>
      <c r="M241" s="82" t="n"/>
      <c r="N241" s="82" t="n"/>
      <c r="O241" s="82" t="n"/>
      <c r="P241" s="82" t="n"/>
      <c r="Q241" s="82" t="n"/>
      <c r="R241" s="82" t="n"/>
    </row>
    <row r="242" ht="44" customHeight="1">
      <c r="A242" s="38">
        <f t="array" ref="A242">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_xlpm.テスト内容数（テスト内容が空の場合は1）, IF(_xlpm.テスト内容数=0,1,_xlpm.テスト内容数),
_xlpm.詳細項目数&amp;"-"&amp;_xlpm.観点数&amp;"-"&amp;_xlpm.テスト内容数（テスト内容が空の場合は1）
)</f>
        <v/>
      </c>
      <c r="B242" s="58" t="n"/>
      <c r="C242" s="41" t="n"/>
      <c r="D242" s="41" t="n"/>
      <c r="E242" s="41" t="n"/>
      <c r="F242" s="99" t="inlineStr">
        <is>
          <t>受信した電文がマルチレイアウトの場合、同一レコード種類のレコードが複数件存在する時の処理が［システム機能設計書/共通コンポーネント設計書の記載通り］であること。</t>
        </is>
      </c>
      <c r="G242" s="99" t="n"/>
      <c r="H242" s="99" t="n"/>
      <c r="I242" s="99" t="n"/>
      <c r="J242" s="82" t="n"/>
      <c r="K242" s="82" t="n"/>
      <c r="L242" s="82" t="n"/>
      <c r="M242" s="82" t="n"/>
      <c r="N242" s="82" t="n"/>
      <c r="O242" s="82" t="n"/>
      <c r="P242" s="82" t="n"/>
      <c r="Q242" s="82" t="n"/>
      <c r="R242" s="82" t="n"/>
    </row>
    <row r="243" ht="44" customHeight="1">
      <c r="A243" s="38">
        <f t="array" ref="A243">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_xlpm.テスト内容数（テスト内容が空の場合は1）, IF(_xlpm.テスト内容数=0,1,_xlpm.テスト内容数),
_xlpm.詳細項目数&amp;"-"&amp;_xlpm.観点数&amp;"-"&amp;_xlpm.テスト内容数（テスト内容が空の場合は1）
)</f>
        <v/>
      </c>
      <c r="B243" s="58" t="n"/>
      <c r="C243" s="41" t="n"/>
      <c r="D243" s="41" t="n"/>
      <c r="E243" s="41" t="n"/>
      <c r="F243" s="99" t="inlineStr">
        <is>
          <t>受信した電文がマルチレイアウトの場合、レコード種類のうちデータレコードにあたる件数が0件の時、［システム機能設計書/共通コンポーネント設計書の記載通りの挙動］であること。</t>
        </is>
      </c>
      <c r="G243" s="99" t="n"/>
      <c r="H243" s="99" t="n"/>
      <c r="I243" s="99" t="n"/>
      <c r="J243" s="82" t="n"/>
      <c r="K243" s="82" t="n"/>
      <c r="L243" s="82" t="n"/>
      <c r="M243" s="82" t="n"/>
      <c r="N243" s="82" t="n"/>
      <c r="O243" s="82" t="n"/>
      <c r="P243" s="82" t="n"/>
      <c r="Q243" s="82" t="n"/>
      <c r="R243" s="82" t="n"/>
    </row>
    <row r="244" ht="33" customHeight="1">
      <c r="A244" s="38">
        <f t="array" ref="A244">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_xlpm.テスト内容数（テスト内容が空の場合は1）, IF(_xlpm.テスト内容数=0,1,_xlpm.テスト内容数),
_xlpm.詳細項目数&amp;"-"&amp;_xlpm.観点数&amp;"-"&amp;_xlpm.テスト内容数（テスト内容が空の場合は1）
)</f>
        <v/>
      </c>
      <c r="B244" s="58" t="n"/>
      <c r="C244" s="41" t="n"/>
      <c r="D244" s="41" t="n"/>
      <c r="E244" s="50" t="n"/>
      <c r="F244" s="99" t="inlineStr">
        <is>
          <t>受信した電文がマルチレイアウトの場合、全レコード種類が含まれる時の処理が［システム機能設計書/共通コンポーネント設計書の記載通り］であること。</t>
        </is>
      </c>
      <c r="G244" s="99" t="n"/>
      <c r="H244" s="99" t="n"/>
      <c r="I244" s="99" t="n"/>
      <c r="J244" s="82" t="n"/>
      <c r="K244" s="82" t="n"/>
      <c r="L244" s="82" t="n"/>
      <c r="M244" s="82" t="n"/>
      <c r="N244" s="82" t="n"/>
      <c r="O244" s="82" t="n"/>
      <c r="P244" s="82" t="n"/>
      <c r="Q244" s="82" t="n"/>
      <c r="R244" s="82" t="n"/>
    </row>
    <row r="245" ht="33" customHeight="1">
      <c r="A245" s="38">
        <f t="array" ref="A245">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_xlpm.テスト内容数（テスト内容が空の場合は1）, IF(_xlpm.テスト内容数=0,1,_xlpm.テスト内容数),
_xlpm.詳細項目数&amp;"-"&amp;_xlpm.観点数&amp;"-"&amp;_xlpm.テスト内容数（テスト内容が空の場合は1）
)</f>
        <v/>
      </c>
      <c r="B245" s="58" t="n"/>
      <c r="C245" s="49" t="n"/>
      <c r="D245" s="50" t="n"/>
      <c r="E245" s="50" t="inlineStr">
        <is>
          <t>インターフェース仕様</t>
        </is>
      </c>
      <c r="F245" s="99" t="inlineStr">
        <is>
          <t>インターフェース仕様が設計と異なる電文を取り込んだ場合、実行結果が［方式設計書の記載通り］となること。</t>
        </is>
      </c>
      <c r="G245" s="99" t="n"/>
      <c r="H245" s="99" t="n"/>
      <c r="I245" s="99" t="n"/>
      <c r="J245" s="82" t="n"/>
      <c r="K245" s="82" t="n"/>
      <c r="L245" s="82" t="n"/>
      <c r="M245" s="82" t="n"/>
      <c r="N245" s="82" t="n"/>
      <c r="O245" s="82" t="n"/>
      <c r="P245" s="82" t="n"/>
      <c r="Q245" s="82" t="n"/>
      <c r="R245" s="82" t="n"/>
    </row>
    <row r="246" ht="33" customHeight="1">
      <c r="A246" s="38">
        <f t="array" ref="A246">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_xlpm.テスト内容数（テスト内容が空の場合は1）, IF(_xlpm.テスト内容数=0,1,_xlpm.テスト内容数),
_xlpm.詳細項目数&amp;"-"&amp;_xlpm.観点数&amp;"-"&amp;_xlpm.テスト内容数（テスト内容が空の場合は1）
)</f>
        <v/>
      </c>
      <c r="B246" s="50" t="n"/>
      <c r="C246" s="50" t="inlineStr">
        <is>
          <t>バリデーション</t>
        </is>
      </c>
      <c r="D246" s="50" t="inlineStr">
        <is>
          <t>フォーマット定義</t>
        </is>
      </c>
      <c r="E246" s="50" t="inlineStr">
        <is>
          <t>レコード構成</t>
        </is>
      </c>
      <c r="F246" s="99" t="inlineStr">
        <is>
          <t>受信した電文がマルチレイアウトの場合、全レコード種類の構成が［外部インターフェース設計書/サブシステムインターフェース設計書の記載通り］であること。</t>
        </is>
      </c>
      <c r="G246" s="99" t="n"/>
      <c r="H246" s="99" t="n"/>
      <c r="I246" s="99" t="n"/>
      <c r="J246" s="82" t="n"/>
      <c r="K246" s="82" t="n"/>
      <c r="L246" s="82" t="n"/>
      <c r="M246" s="82" t="n"/>
      <c r="N246" s="82" t="n"/>
      <c r="O246" s="82" t="n"/>
      <c r="P246" s="82" t="n"/>
      <c r="Q246" s="82" t="n"/>
      <c r="R246" s="82" t="n"/>
    </row>
    <row r="247" ht="22" customHeight="1">
      <c r="A247" s="38">
        <f t="array" ref="A247">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_xlpm.テスト内容数（テスト内容が空の場合は1）, IF(_xlpm.テスト内容数=0,1,_xlpm.テスト内容数),
_xlpm.詳細項目数&amp;"-"&amp;_xlpm.観点数&amp;"-"&amp;_xlpm.テスト内容数（テスト内容が空の場合は1）
)</f>
        <v/>
      </c>
      <c r="B247" s="40" t="inlineStr">
        <is>
          <t>送信処理</t>
        </is>
      </c>
      <c r="C247" s="40" t="inlineStr">
        <is>
          <t>実行結果</t>
        </is>
      </c>
      <c r="D247" s="40" t="inlineStr">
        <is>
          <t>-</t>
        </is>
      </c>
      <c r="E247" s="40" t="inlineStr">
        <is>
          <t>-</t>
        </is>
      </c>
      <c r="F247" s="99" t="inlineStr">
        <is>
          <t>実行結果が正常の時、電文が［システム機能設計書/共通コンポーネント設計書の記載通り］送信されること。</t>
        </is>
      </c>
      <c r="G247" s="99" t="n"/>
      <c r="H247" s="99" t="n"/>
      <c r="I247" s="99" t="n"/>
      <c r="J247" s="82" t="n"/>
      <c r="K247" s="82" t="n"/>
      <c r="L247" s="82" t="n"/>
      <c r="M247" s="82" t="n"/>
      <c r="N247" s="82" t="n"/>
      <c r="O247" s="82" t="n"/>
      <c r="P247" s="82" t="n"/>
      <c r="Q247" s="82" t="n"/>
      <c r="R247" s="82" t="n"/>
    </row>
    <row r="248" ht="22" customHeight="1">
      <c r="A248" s="38">
        <f t="array" ref="A248">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_xlpm.テスト内容数（テスト内容が空の場合は1）, IF(_xlpm.テスト内容数=0,1,_xlpm.テスト内容数),
_xlpm.詳細項目数&amp;"-"&amp;_xlpm.観点数&amp;"-"&amp;_xlpm.テスト内容数（テスト内容が空の場合は1）
)</f>
        <v/>
      </c>
      <c r="B248" s="58" t="n"/>
      <c r="C248" s="41" t="n"/>
      <c r="D248" s="50" t="n"/>
      <c r="E248" s="50" t="n"/>
      <c r="F248" s="99" t="inlineStr">
        <is>
          <t>実行結果が異常の時、電文が［システム機能設計書/共通コンポーネント設計書の記載通り］送信されること。</t>
        </is>
      </c>
      <c r="G248" s="99" t="n"/>
      <c r="H248" s="99" t="n"/>
      <c r="I248" s="99" t="n"/>
      <c r="J248" s="82" t="n"/>
      <c r="K248" s="82" t="n"/>
      <c r="L248" s="82" t="n"/>
      <c r="M248" s="82" t="n"/>
      <c r="N248" s="82" t="n"/>
      <c r="O248" s="82" t="n"/>
      <c r="P248" s="82" t="n"/>
      <c r="Q248" s="82" t="n"/>
      <c r="R248" s="82" t="n"/>
    </row>
    <row r="249" ht="33" customHeight="1">
      <c r="A249" s="38">
        <f t="array" ref="A249">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_xlpm.テスト内容数（テスト内容が空の場合は1）, IF(_xlpm.テスト内容数=0,1,_xlpm.テスト内容数),
_xlpm.詳細項目数&amp;"-"&amp;_xlpm.観点数&amp;"-"&amp;_xlpm.テスト内容数（テスト内容が空の場合は1）
)</f>
        <v/>
      </c>
      <c r="B249" s="58" t="n"/>
      <c r="C249" s="41" t="n"/>
      <c r="D249" s="41" t="inlineStr">
        <is>
          <t>エラー</t>
        </is>
      </c>
      <c r="E249" s="41" t="inlineStr">
        <is>
          <t>-</t>
        </is>
      </c>
      <c r="F249" s="99" t="inlineStr">
        <is>
          <t>電文の送信時にタイムアウトが発生した場合、実行結果が［システム機能設計書/共通コンポーネント設計書の記載通り］であること。</t>
        </is>
      </c>
      <c r="G249" s="99" t="n"/>
      <c r="H249" s="99" t="n"/>
      <c r="I249" s="99" t="n"/>
      <c r="J249" s="82" t="n"/>
      <c r="K249" s="82" t="n"/>
      <c r="L249" s="82" t="n"/>
      <c r="M249" s="82" t="n"/>
      <c r="N249" s="82" t="n"/>
      <c r="O249" s="82" t="n"/>
      <c r="P249" s="82" t="n"/>
      <c r="Q249" s="82" t="n"/>
      <c r="R249" s="82" t="n"/>
    </row>
    <row r="250" ht="33" customHeight="1">
      <c r="A250" s="38">
        <f t="array" ref="A250">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_xlpm.テスト内容数（テスト内容が空の場合は1）, IF(_xlpm.テスト内容数=0,1,_xlpm.テスト内容数),
_xlpm.詳細項目数&amp;"-"&amp;_xlpm.観点数&amp;"-"&amp;_xlpm.テスト内容数（テスト内容が空の場合は1）
)</f>
        <v/>
      </c>
      <c r="B250" s="58" t="n"/>
      <c r="C250" s="50" t="n"/>
      <c r="D250" s="50" t="n"/>
      <c r="E250" s="50" t="n"/>
      <c r="F250" s="99" t="inlineStr">
        <is>
          <t>タイムアウト以外のエラーが発生した場合、実行結果が［システム機能設計書/共通コンポーネント設計書の記載通り］であること。</t>
        </is>
      </c>
      <c r="G250" s="99" t="n"/>
      <c r="H250" s="99" t="n"/>
      <c r="I250" s="99" t="n"/>
      <c r="J250" s="82" t="n"/>
      <c r="K250" s="82" t="n"/>
      <c r="L250" s="82" t="n"/>
      <c r="M250" s="82" t="n"/>
      <c r="N250" s="82" t="n"/>
      <c r="O250" s="82" t="n"/>
      <c r="P250" s="82" t="n"/>
      <c r="Q250" s="82" t="n"/>
      <c r="R250" s="82" t="n"/>
    </row>
    <row r="251" ht="33" customHeight="1">
      <c r="A251" s="38">
        <f t="array" ref="A25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_xlpm.テスト内容数（テスト内容が空の場合は1）, IF(_xlpm.テスト内容数=0,1,_xlpm.テスト内容数),
_xlpm.詳細項目数&amp;"-"&amp;_xlpm.観点数&amp;"-"&amp;_xlpm.テスト内容数（テスト内容が空の場合は1）
)</f>
        <v/>
      </c>
      <c r="B251" s="58" t="n"/>
      <c r="C251" s="52" t="inlineStr">
        <is>
          <t>電文編集</t>
        </is>
      </c>
      <c r="D251" s="41" t="inlineStr">
        <is>
          <t>フォーマット定義</t>
        </is>
      </c>
      <c r="E251" s="99" t="inlineStr">
        <is>
          <t>文字コード</t>
        </is>
      </c>
      <c r="F251" s="99" t="inlineStr">
        <is>
          <t>送信した電文の文字コードが［外部インターフェース設計書/サブシステムインターフェース設計書の記載通り］であること。</t>
        </is>
      </c>
      <c r="G251" s="99" t="n"/>
      <c r="H251" s="99" t="n"/>
      <c r="I251" s="99" t="n"/>
      <c r="J251" s="82" t="n"/>
      <c r="K251" s="82" t="n"/>
      <c r="L251" s="82" t="n"/>
      <c r="M251" s="82" t="n"/>
      <c r="N251" s="82" t="n"/>
      <c r="O251" s="82" t="n"/>
      <c r="P251" s="82" t="n"/>
      <c r="Q251" s="82" t="n"/>
      <c r="R251" s="82" t="n"/>
    </row>
    <row r="252" ht="33" customHeight="1">
      <c r="A252" s="38">
        <f t="array" ref="A252">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_xlpm.テスト内容数（テスト内容が空の場合は1）, IF(_xlpm.テスト内容数=0,1,_xlpm.テスト内容数),
_xlpm.詳細項目数&amp;"-"&amp;_xlpm.観点数&amp;"-"&amp;_xlpm.テスト内容数（テスト内容が空の場合は1）
)</f>
        <v/>
      </c>
      <c r="B252" s="58" t="n"/>
      <c r="C252" s="52" t="n"/>
      <c r="D252" s="41" t="n"/>
      <c r="E252" s="99" t="inlineStr">
        <is>
          <t>区切り文字</t>
        </is>
      </c>
      <c r="F252" s="99" t="inlineStr">
        <is>
          <t>送信した電文の区切り文字が［外部インターフェース設計書/サブシステムインターフェース設計書の記載通り］であること。</t>
        </is>
      </c>
      <c r="G252" s="99" t="n"/>
      <c r="H252" s="99" t="n"/>
      <c r="I252" s="99" t="n"/>
      <c r="J252" s="82" t="n"/>
      <c r="K252" s="82" t="n"/>
      <c r="L252" s="82" t="n"/>
      <c r="M252" s="82" t="n"/>
      <c r="N252" s="82" t="n"/>
      <c r="O252" s="82" t="n"/>
      <c r="P252" s="82" t="n"/>
      <c r="Q252" s="82" t="n"/>
      <c r="R252" s="82" t="n"/>
    </row>
    <row r="253" ht="33" customHeight="1">
      <c r="A253" s="38">
        <f t="array" ref="A253">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_xlpm.テスト内容数（テスト内容が空の場合は1）, IF(_xlpm.テスト内容数=0,1,_xlpm.テスト内容数),
_xlpm.詳細項目数&amp;"-"&amp;_xlpm.観点数&amp;"-"&amp;_xlpm.テスト内容数（テスト内容が空の場合は1）
)</f>
        <v/>
      </c>
      <c r="B253" s="58" t="n"/>
      <c r="C253" s="58" t="n"/>
      <c r="D253" s="52" t="n"/>
      <c r="E253" s="99" t="inlineStr">
        <is>
          <t>レコード構成</t>
        </is>
      </c>
      <c r="F253" s="99" t="inlineStr">
        <is>
          <t>送信した電文がマルチレイアウトの場合、レコード構成が［外部インターフェース設計書/サブシステムインターフェース設計書の記載通り］であること。</t>
        </is>
      </c>
      <c r="G253" s="99" t="n"/>
      <c r="H253" s="99" t="n"/>
      <c r="I253" s="99" t="n"/>
      <c r="J253" s="82" t="n"/>
      <c r="K253" s="82" t="n"/>
      <c r="L253" s="82" t="n"/>
      <c r="M253" s="82" t="n"/>
      <c r="N253" s="82" t="n"/>
      <c r="O253" s="82" t="n"/>
      <c r="P253" s="82" t="n"/>
      <c r="Q253" s="82" t="n"/>
      <c r="R253" s="82" t="n"/>
    </row>
    <row r="254" ht="33" customHeight="1">
      <c r="A254" s="38">
        <f t="array" ref="A254">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_xlpm.テスト内容数（テスト内容が空の場合は1）, IF(_xlpm.テスト内容数=0,1,_xlpm.テスト内容数),
_xlpm.詳細項目数&amp;"-"&amp;_xlpm.観点数&amp;"-"&amp;_xlpm.テスト内容数（テスト内容が空の場合は1）
)</f>
        <v/>
      </c>
      <c r="B254" s="58" t="n"/>
      <c r="C254" s="52" t="n"/>
      <c r="D254" s="50" t="n"/>
      <c r="E254" s="99" t="inlineStr">
        <is>
          <t>ソート順</t>
        </is>
      </c>
      <c r="F254" s="99" t="inlineStr">
        <is>
          <t>送信した電文の項目並び順が［外部インターフェース設計書/サブシステムインターフェース設計書の記載通り］であること。</t>
        </is>
      </c>
      <c r="G254" s="99" t="n"/>
      <c r="H254" s="99" t="n"/>
      <c r="I254" s="99" t="n"/>
      <c r="J254" s="82" t="n"/>
      <c r="K254" s="82" t="n"/>
      <c r="L254" s="82" t="n"/>
      <c r="M254" s="82" t="n"/>
      <c r="N254" s="82" t="n"/>
      <c r="O254" s="82" t="n"/>
      <c r="P254" s="82" t="n"/>
      <c r="Q254" s="82" t="n"/>
      <c r="R254" s="82" t="n"/>
    </row>
    <row r="255" ht="22" customHeight="1">
      <c r="A255" s="38">
        <f t="array" ref="A255">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_xlpm.テスト内容数（テスト内容が空の場合は1）, IF(_xlpm.テスト内容数=0,1,_xlpm.テスト内容数),
_xlpm.詳細項目数&amp;"-"&amp;_xlpm.観点数&amp;"-"&amp;_xlpm.テスト内容数（テスト内容が空の場合は1）
)</f>
        <v/>
      </c>
      <c r="B255" s="58" t="n"/>
      <c r="C255" s="58" t="n"/>
      <c r="D255" s="41" t="inlineStr">
        <is>
          <t>出力内容</t>
        </is>
      </c>
      <c r="E255" s="58" t="inlineStr">
        <is>
          <t>-</t>
        </is>
      </c>
      <c r="F255" s="99" t="inlineStr">
        <is>
          <t>送信した電文に含まれる項目の値が、取得元と同値であること。</t>
        </is>
      </c>
      <c r="G255" s="99" t="n"/>
      <c r="H255" s="99" t="n"/>
      <c r="I255" s="99" t="n"/>
      <c r="J255" s="82" t="n"/>
      <c r="K255" s="82" t="n"/>
      <c r="L255" s="82" t="n"/>
      <c r="M255" s="82" t="n"/>
      <c r="N255" s="82" t="n"/>
      <c r="O255" s="82" t="n"/>
      <c r="P255" s="82" t="n"/>
      <c r="Q255" s="82" t="n"/>
      <c r="R255" s="82" t="n"/>
    </row>
    <row r="256" ht="22" customHeight="1">
      <c r="A256" s="38">
        <f t="array" ref="A256">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_xlpm.テスト内容数（テスト内容が空の場合は1）, IF(_xlpm.テスト内容数=0,1,_xlpm.テスト内容数),
_xlpm.詳細項目数&amp;"-"&amp;_xlpm.観点数&amp;"-"&amp;_xlpm.テスト内容数（テスト内容が空の場合は1）
)</f>
        <v/>
      </c>
      <c r="B256" s="58" t="n"/>
      <c r="C256" s="58" t="n"/>
      <c r="D256" s="52" t="n"/>
      <c r="E256" s="50" t="n"/>
      <c r="F256" s="99" t="inlineStr">
        <is>
          <t>デフォルト値を送信する項目の場合、デフォルト値が送信されること。</t>
        </is>
      </c>
      <c r="G256" s="99" t="n"/>
      <c r="H256" s="99" t="n"/>
      <c r="I256" s="99" t="n"/>
      <c r="J256" s="82" t="n"/>
      <c r="K256" s="82" t="n"/>
      <c r="L256" s="82" t="n"/>
      <c r="M256" s="82" t="n"/>
      <c r="N256" s="82" t="n"/>
      <c r="O256" s="82" t="n"/>
      <c r="P256" s="82" t="n"/>
      <c r="Q256" s="82" t="n"/>
      <c r="R256" s="82" t="n"/>
    </row>
    <row r="257" ht="33" customHeight="1">
      <c r="A257" s="38">
        <f t="array" ref="A257">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_xlpm.テスト内容数（テスト内容が空の場合は1）, IF(_xlpm.テスト内容数=0,1,_xlpm.テスト内容数),
_xlpm.詳細項目数&amp;"-"&amp;_xlpm.観点数&amp;"-"&amp;_xlpm.テスト内容数（テスト内容が空の場合は1）
)</f>
        <v/>
      </c>
      <c r="B257" s="58" t="n"/>
      <c r="C257" s="58" t="n"/>
      <c r="D257" s="52" t="n"/>
      <c r="E257" s="41" t="inlineStr">
        <is>
          <t>編集仕様</t>
        </is>
      </c>
      <c r="F257" s="99" t="inlineStr">
        <is>
          <t>取得した値を変換する設計となっている場合、送信された値が［システム機能設計書/共通コンポーネント設計書の記載通り］であること。</t>
        </is>
      </c>
      <c r="G257" s="99" t="n"/>
      <c r="H257" s="99" t="n"/>
      <c r="I257" s="99" t="n"/>
      <c r="J257" s="82" t="n"/>
      <c r="K257" s="82" t="n"/>
      <c r="L257" s="82" t="n"/>
      <c r="M257" s="82" t="n"/>
      <c r="N257" s="82" t="n"/>
      <c r="O257" s="82" t="n"/>
      <c r="P257" s="82" t="n"/>
      <c r="Q257" s="82" t="n"/>
      <c r="R257" s="82" t="n"/>
    </row>
    <row r="258" ht="33" customHeight="1">
      <c r="A258" s="38">
        <f t="array" ref="A258">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_xlpm.テスト内容数（テスト内容が空の場合は1）, IF(_xlpm.テスト内容数=0,1,_xlpm.テスト内容数),
_xlpm.詳細項目数&amp;"-"&amp;_xlpm.観点数&amp;"-"&amp;_xlpm.テスト内容数（テスト内容が空の場合は1）
)</f>
        <v/>
      </c>
      <c r="B258" s="58" t="n"/>
      <c r="C258" s="58" t="n"/>
      <c r="D258" s="52" t="n"/>
      <c r="E258" s="41" t="n"/>
      <c r="F258" s="99" t="inlineStr">
        <is>
          <t>取得した値を編集する処理が分岐する設計となっている場合、送信された値が［システム機能設計書/共通コンポーネント設計書の記載通り］であること。</t>
        </is>
      </c>
      <c r="G258" s="99" t="n"/>
      <c r="H258" s="99" t="n"/>
      <c r="I258" s="99" t="n"/>
      <c r="J258" s="82" t="n"/>
      <c r="K258" s="82" t="n"/>
      <c r="L258" s="82" t="n"/>
      <c r="M258" s="82" t="n"/>
      <c r="N258" s="82" t="n"/>
      <c r="O258" s="82" t="n"/>
      <c r="P258" s="82" t="n"/>
      <c r="Q258" s="82" t="n"/>
      <c r="R258" s="82" t="n"/>
    </row>
    <row r="259" ht="33" customHeight="1">
      <c r="A259" s="38">
        <f t="array" ref="A259">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_xlpm.テスト内容数（テスト内容が空の場合は1）, IF(_xlpm.テスト内容数=0,1,_xlpm.テスト内容数),
_xlpm.詳細項目数&amp;"-"&amp;_xlpm.観点数&amp;"-"&amp;_xlpm.テスト内容数（テスト内容が空の場合は1）
)</f>
        <v/>
      </c>
      <c r="B259" s="58" t="n"/>
      <c r="C259" s="58" t="n"/>
      <c r="D259" s="52" t="n"/>
      <c r="E259" s="41" t="n"/>
      <c r="F259" s="99" t="inlineStr">
        <is>
          <t>ループ処理によって、取得した値の編集を繰り返す設計となっている場合、送信された値が［システム機能設計書/共通コンポーネント設計書の記載通り］であること。</t>
        </is>
      </c>
      <c r="G259" s="99" t="n"/>
      <c r="H259" s="99" t="n"/>
      <c r="I259" s="99" t="n"/>
      <c r="J259" s="82" t="n"/>
      <c r="K259" s="82" t="n"/>
      <c r="L259" s="82" t="n"/>
      <c r="M259" s="82" t="n"/>
      <c r="N259" s="82" t="n"/>
      <c r="O259" s="82" t="n"/>
      <c r="P259" s="82" t="n"/>
      <c r="Q259" s="82" t="n"/>
      <c r="R259" s="82" t="n"/>
    </row>
    <row r="260" ht="33" customHeight="1">
      <c r="A260" s="38">
        <f t="array" ref="A260">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_xlpm.テスト内容数（テスト内容が空の場合は1）, IF(_xlpm.テスト内容数=0,1,_xlpm.テスト内容数),
_xlpm.詳細項目数&amp;"-"&amp;_xlpm.観点数&amp;"-"&amp;_xlpm.テスト内容数（テスト内容が空の場合は1）
)</f>
        <v/>
      </c>
      <c r="B260" s="58" t="n"/>
      <c r="C260" s="58" t="n"/>
      <c r="D260" s="52" t="n"/>
      <c r="E260" s="41" t="n"/>
      <c r="F260" s="99" t="inlineStr">
        <is>
          <t>取得した値を使用して計算する設計となっている場合、送信された値が［システム機能設計書/共通コンポーネント設計書の記載通り］であること。</t>
        </is>
      </c>
      <c r="G260" s="99" t="n"/>
      <c r="H260" s="99" t="n"/>
      <c r="I260" s="99" t="n"/>
      <c r="J260" s="82" t="n"/>
      <c r="K260" s="82" t="n"/>
      <c r="L260" s="82" t="n"/>
      <c r="M260" s="82" t="n"/>
      <c r="N260" s="82" t="n"/>
      <c r="O260" s="82" t="n"/>
      <c r="P260" s="82" t="n"/>
      <c r="Q260" s="82" t="n"/>
      <c r="R260" s="82" t="n"/>
    </row>
    <row r="261" ht="33" customHeight="1">
      <c r="A261" s="38">
        <f t="array" ref="A26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_xlpm.テスト内容数（テスト内容が空の場合は1）, IF(_xlpm.テスト内容数=0,1,_xlpm.テスト内容数),
_xlpm.詳細項目数&amp;"-"&amp;_xlpm.観点数&amp;"-"&amp;_xlpm.テスト内容数（テスト内容が空の場合は1）
)</f>
        <v/>
      </c>
      <c r="B261" s="41" t="n"/>
      <c r="C261" s="41" t="n"/>
      <c r="D261" s="41" t="n"/>
      <c r="E261" s="58" t="n"/>
      <c r="F261" s="99" t="inlineStr">
        <is>
          <t>取得した値を連結する設計となっている場合、送信された値が［システム機能設計書/共通コンポーネント設計書の記載通り］であること。</t>
        </is>
      </c>
      <c r="G261" s="99" t="n"/>
      <c r="H261" s="99" t="n"/>
      <c r="I261" s="99" t="n"/>
      <c r="J261" s="82" t="n"/>
      <c r="K261" s="82" t="n"/>
      <c r="L261" s="82" t="n"/>
      <c r="M261" s="82" t="n"/>
      <c r="N261" s="82" t="n"/>
      <c r="O261" s="82" t="n"/>
      <c r="P261" s="82" t="n"/>
      <c r="Q261" s="82" t="n"/>
      <c r="R261" s="82" t="n"/>
    </row>
    <row r="262" ht="22" customHeight="1">
      <c r="A262" s="38">
        <f t="array" ref="A262">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_xlpm.テスト内容数（テスト内容が空の場合は1）, IF(_xlpm.テスト内容数=0,1,_xlpm.テスト内容数),
_xlpm.詳細項目数&amp;"-"&amp;_xlpm.観点数&amp;"-"&amp;_xlpm.テスト内容数（テスト内容が空の場合は1）
)</f>
        <v/>
      </c>
      <c r="B262" s="58" t="n"/>
      <c r="C262" s="41" t="n"/>
      <c r="D262" s="41" t="n"/>
      <c r="E262" s="58" t="n"/>
      <c r="F262" s="99" t="inlineStr">
        <is>
          <t>取得した値を暗号化する設計となっている場合、送信された値が暗号化されること。</t>
        </is>
      </c>
      <c r="G262" s="99" t="n"/>
      <c r="H262" s="99" t="n"/>
      <c r="I262" s="99" t="n"/>
      <c r="J262" s="82" t="n"/>
      <c r="K262" s="82" t="n"/>
      <c r="L262" s="82" t="n"/>
      <c r="M262" s="82" t="n"/>
      <c r="N262" s="82" t="n"/>
      <c r="O262" s="82" t="n"/>
      <c r="P262" s="82" t="n"/>
      <c r="Q262" s="82" t="n"/>
      <c r="R262" s="82" t="n"/>
    </row>
    <row r="263" ht="22" customHeight="1">
      <c r="A263" s="38">
        <f t="array" ref="A263">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_xlpm.テスト内容数（テスト内容が空の場合は1）, IF(_xlpm.テスト内容数=0,1,_xlpm.テスト内容数),
_xlpm.詳細項目数&amp;"-"&amp;_xlpm.観点数&amp;"-"&amp;_xlpm.テスト内容数（テスト内容が空の場合は1）
)</f>
        <v/>
      </c>
      <c r="B263" s="58" t="n"/>
      <c r="C263" s="41" t="n"/>
      <c r="D263" s="41" t="n"/>
      <c r="E263" s="58" t="n"/>
      <c r="F263" s="99" t="inlineStr">
        <is>
          <t>取得した値をマスキングする設計となっている場合、送信された値がマスキングされること。</t>
        </is>
      </c>
      <c r="G263" s="99" t="n"/>
      <c r="H263" s="99" t="n"/>
      <c r="I263" s="99" t="n"/>
      <c r="J263" s="82" t="n"/>
      <c r="K263" s="82" t="n"/>
      <c r="L263" s="82" t="n"/>
      <c r="M263" s="82" t="n"/>
      <c r="N263" s="82" t="n"/>
      <c r="O263" s="82" t="n"/>
      <c r="P263" s="82" t="n"/>
      <c r="Q263" s="82" t="n"/>
      <c r="R263" s="82" t="n"/>
    </row>
    <row r="264" ht="33" customHeight="1">
      <c r="A264" s="38">
        <f t="array" ref="A264">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_xlpm.テスト内容数（テスト内容が空の場合は1）, IF(_xlpm.テスト内容数=0,1,_xlpm.テスト内容数),
_xlpm.詳細項目数&amp;"-"&amp;_xlpm.観点数&amp;"-"&amp;_xlpm.テスト内容数（テスト内容が空の場合は1）
)</f>
        <v/>
      </c>
      <c r="B264" s="58" t="n"/>
      <c r="C264" s="41" t="n"/>
      <c r="D264" s="41" t="n"/>
      <c r="E264" s="58" t="n"/>
      <c r="F264" s="99" t="inlineStr">
        <is>
          <t>取得した値に改行、タブ、メタキャラクタが含まれる場合、送信された値がエンコーディング、サニタイジングされること。</t>
        </is>
      </c>
      <c r="G264" s="99" t="n"/>
      <c r="H264" s="99" t="n"/>
      <c r="I264" s="99" t="n"/>
      <c r="J264" s="82" t="n"/>
      <c r="K264" s="82" t="n"/>
      <c r="L264" s="82" t="n"/>
      <c r="M264" s="82" t="n"/>
      <c r="N264" s="82" t="n"/>
      <c r="O264" s="82" t="n"/>
      <c r="P264" s="82" t="n"/>
      <c r="Q264" s="82" t="n"/>
      <c r="R264" s="82" t="n"/>
    </row>
    <row r="265" ht="33" customHeight="1">
      <c r="A265" s="38">
        <f t="array" ref="A265">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_xlpm.テスト内容数（テスト内容が空の場合は1）, IF(_xlpm.テスト内容数=0,1,_xlpm.テスト内容数),
_xlpm.詳細項目数&amp;"-"&amp;_xlpm.観点数&amp;"-"&amp;_xlpm.テスト内容数（テスト内容が空の場合は1）
)</f>
        <v/>
      </c>
      <c r="B265" s="58" t="n"/>
      <c r="C265" s="41" t="n"/>
      <c r="D265" s="41" t="n"/>
      <c r="E265" s="58" t="n"/>
      <c r="F265" s="99" t="inlineStr">
        <is>
          <t>取得した値をパディングする設計となっている場合、送信された値が［システム機能設計書/共通コンポーネント設計書の記載通り］であること。</t>
        </is>
      </c>
      <c r="G265" s="99" t="n"/>
      <c r="H265" s="99" t="n"/>
      <c r="I265" s="99" t="n"/>
      <c r="J265" s="82" t="n"/>
      <c r="K265" s="82" t="n"/>
      <c r="L265" s="82" t="n"/>
      <c r="M265" s="82" t="n"/>
      <c r="N265" s="82" t="n"/>
      <c r="O265" s="82" t="n"/>
      <c r="P265" s="82" t="n"/>
      <c r="Q265" s="82" t="n"/>
      <c r="R265" s="82" t="n"/>
    </row>
    <row r="266" ht="33" customHeight="1">
      <c r="A266" s="38">
        <f t="array" ref="A266">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_xlpm.テスト内容数（テスト内容が空の場合は1）, IF(_xlpm.テスト内容数=0,1,_xlpm.テスト内容数),
_xlpm.詳細項目数&amp;"-"&amp;_xlpm.観点数&amp;"-"&amp;_xlpm.テスト内容数（テスト内容が空の場合は1）
)</f>
        <v/>
      </c>
      <c r="B266" s="58" t="n"/>
      <c r="C266" s="41" t="n"/>
      <c r="D266" s="41" t="n"/>
      <c r="E266" s="41" t="n"/>
      <c r="F266" s="99" t="inlineStr">
        <is>
          <t>取得した値をパディングする設計となっている場合、送信された値のパディング位置が［システム機能設計書/共通コンポーネント設計書の記載通り］であること。</t>
        </is>
      </c>
      <c r="G266" s="99" t="n"/>
      <c r="H266" s="99" t="n"/>
      <c r="I266" s="99" t="n"/>
      <c r="J266" s="82" t="n"/>
      <c r="K266" s="82" t="n"/>
      <c r="L266" s="82" t="n"/>
      <c r="M266" s="82" t="n"/>
      <c r="N266" s="82" t="n"/>
      <c r="O266" s="82" t="n"/>
      <c r="P266" s="82" t="n"/>
      <c r="Q266" s="82" t="n"/>
      <c r="R266" s="82" t="n"/>
    </row>
    <row r="267" ht="33" customHeight="1">
      <c r="A267" s="38">
        <f t="array" ref="A267">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_xlpm.テスト内容数（テスト内容が空の場合は1）, IF(_xlpm.テスト内容数=0,1,_xlpm.テスト内容数),
_xlpm.詳細項目数&amp;"-"&amp;_xlpm.観点数&amp;"-"&amp;_xlpm.テスト内容数（テスト内容が空の場合は1）
)</f>
        <v/>
      </c>
      <c r="B267" s="58" t="n"/>
      <c r="C267" s="41" t="n"/>
      <c r="D267" s="41" t="n"/>
      <c r="E267" s="50" t="n"/>
      <c r="F267" s="99" t="inlineStr">
        <is>
          <t>取得した数値が小数点以下を含む場合、送信された小数点以下の数値が［システム機能設計書/共通コンポーネント設計書の記載通り］であること。</t>
        </is>
      </c>
      <c r="G267" s="99" t="n"/>
      <c r="H267" s="99" t="n"/>
      <c r="I267" s="99" t="n"/>
      <c r="J267" s="82" t="n"/>
      <c r="K267" s="82" t="n"/>
      <c r="L267" s="82" t="n"/>
      <c r="M267" s="82" t="n"/>
      <c r="N267" s="82" t="n"/>
      <c r="O267" s="82" t="n"/>
      <c r="P267" s="82" t="n"/>
      <c r="Q267" s="82" t="n"/>
      <c r="R267" s="82" t="n"/>
    </row>
    <row r="268">
      <c r="A268" s="38">
        <f t="array" ref="A268">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_xlpm.テスト内容数（テスト内容が空の場合は1）, IF(_xlpm.テスト内容数=0,1,_xlpm.テスト内容数),
_xlpm.詳細項目数&amp;"-"&amp;_xlpm.観点数&amp;"-"&amp;_xlpm.テスト内容数（テスト内容が空の場合は1）
)</f>
        <v/>
      </c>
      <c r="B268" s="58" t="n"/>
      <c r="C268" s="41" t="n"/>
      <c r="D268" s="41" t="n"/>
      <c r="E268" s="41" t="inlineStr">
        <is>
          <t>桁数</t>
        </is>
      </c>
      <c r="F268" s="99" t="inlineStr">
        <is>
          <t>送信項目の値が最大長の場合、エラーとならないこと。</t>
        </is>
      </c>
      <c r="G268" s="99" t="n"/>
      <c r="H268" s="99" t="n"/>
      <c r="I268" s="99" t="n"/>
      <c r="J268" s="82" t="n"/>
      <c r="K268" s="82" t="n"/>
      <c r="L268" s="82" t="n"/>
      <c r="M268" s="82" t="n"/>
      <c r="N268" s="82" t="n"/>
      <c r="O268" s="82" t="n"/>
      <c r="P268" s="82" t="n"/>
      <c r="Q268" s="82" t="n"/>
      <c r="R268" s="82" t="n"/>
    </row>
    <row r="269">
      <c r="A269" s="38">
        <f t="array" ref="A269">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_xlpm.テスト内容数（テスト内容が空の場合は1）, IF(_xlpm.テスト内容数=0,1,_xlpm.テスト内容数),
_xlpm.詳細項目数&amp;"-"&amp;_xlpm.観点数&amp;"-"&amp;_xlpm.テスト内容数（テスト内容が空の場合は1）
)</f>
        <v/>
      </c>
      <c r="B269" s="58" t="n"/>
      <c r="C269" s="41" t="n"/>
      <c r="D269" s="41" t="n"/>
      <c r="E269" s="41" t="n"/>
      <c r="F269" s="99" t="inlineStr">
        <is>
          <t>送信項目の値が最小長の場合、エラーとならないこと。</t>
        </is>
      </c>
      <c r="G269" s="99" t="n"/>
      <c r="H269" s="99" t="n"/>
      <c r="I269" s="99" t="n"/>
      <c r="J269" s="82" t="n"/>
      <c r="K269" s="82" t="n"/>
      <c r="L269" s="82" t="n"/>
      <c r="M269" s="82" t="n"/>
      <c r="N269" s="82" t="n"/>
      <c r="O269" s="82" t="n"/>
      <c r="P269" s="82" t="n"/>
      <c r="Q269" s="82" t="n"/>
      <c r="R269" s="82" t="n"/>
    </row>
    <row r="270" ht="22" customHeight="1">
      <c r="A270" s="38">
        <f t="array" ref="A270">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_xlpm.テスト内容数（テスト内容が空の場合は1）, IF(_xlpm.テスト内容数=0,1,_xlpm.テスト内容数),
_xlpm.詳細項目数&amp;"-"&amp;_xlpm.観点数&amp;"-"&amp;_xlpm.テスト内容数（テスト内容が空の場合は1）
)</f>
        <v/>
      </c>
      <c r="B270" s="58" t="n"/>
      <c r="C270" s="58" t="n"/>
      <c r="D270" s="41" t="n"/>
      <c r="E270" s="41" t="n"/>
      <c r="F270" s="99" t="inlineStr">
        <is>
          <t>送信項目の値が存在しない場合、［システム機能設計書/共通コンポーネント設計書の記載通りの挙動］となること。</t>
        </is>
      </c>
      <c r="G270" s="99" t="n"/>
      <c r="H270" s="99" t="n"/>
      <c r="I270" s="99" t="n"/>
      <c r="J270" s="82" t="n"/>
      <c r="K270" s="82" t="n"/>
      <c r="L270" s="82" t="n"/>
      <c r="M270" s="82" t="n"/>
      <c r="N270" s="82" t="n"/>
      <c r="O270" s="82" t="n"/>
      <c r="P270" s="82" t="n"/>
      <c r="Q270" s="82" t="n"/>
      <c r="R270" s="82" t="n"/>
    </row>
    <row r="271" ht="22" customHeight="1">
      <c r="A271" s="38">
        <f t="array" ref="A27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_xlpm.テスト内容数（テスト内容が空の場合は1）, IF(_xlpm.テスト内容数=0,1,_xlpm.テスト内容数),
_xlpm.詳細項目数&amp;"-"&amp;_xlpm.観点数&amp;"-"&amp;_xlpm.テスト内容数（テスト内容が空の場合は1）
)</f>
        <v/>
      </c>
      <c r="B271" s="58" t="n"/>
      <c r="C271" s="58" t="n"/>
      <c r="D271" s="52" t="n"/>
      <c r="E271" s="41" t="n"/>
      <c r="F271" s="99" t="inlineStr">
        <is>
          <t>送信する電文の長さが最大の場合、エラーとならないこと。</t>
        </is>
      </c>
      <c r="G271" s="99" t="n"/>
      <c r="H271" s="99" t="n"/>
      <c r="I271" s="99" t="n"/>
      <c r="J271" s="82" t="n"/>
      <c r="K271" s="82" t="n"/>
      <c r="L271" s="82" t="n"/>
      <c r="M271" s="82" t="n"/>
      <c r="N271" s="82" t="n"/>
      <c r="O271" s="82" t="n"/>
      <c r="P271" s="82" t="n"/>
      <c r="Q271" s="82" t="n"/>
      <c r="R271" s="82" t="n"/>
    </row>
    <row r="272" ht="22" customHeight="1">
      <c r="A272" s="38">
        <f t="array" ref="A272">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_xlpm.テスト内容数（テスト内容が空の場合は1）, IF(_xlpm.テスト内容数=0,1,_xlpm.テスト内容数),
_xlpm.詳細項目数&amp;"-"&amp;_xlpm.観点数&amp;"-"&amp;_xlpm.テスト内容数（テスト内容が空の場合は1）
)</f>
        <v/>
      </c>
      <c r="B272" s="58" t="n"/>
      <c r="C272" s="58" t="n"/>
      <c r="D272" s="52" t="n"/>
      <c r="E272" s="41" t="n"/>
      <c r="F272" s="99" t="inlineStr">
        <is>
          <t>送信する電文の長さが最小の場合、エラーとならないこと。</t>
        </is>
      </c>
      <c r="G272" s="99" t="n"/>
      <c r="H272" s="99" t="n"/>
      <c r="I272" s="99" t="n"/>
      <c r="J272" s="82" t="n"/>
      <c r="K272" s="82" t="n"/>
      <c r="L272" s="82" t="n"/>
      <c r="M272" s="82" t="n"/>
      <c r="N272" s="82" t="n"/>
      <c r="O272" s="82" t="n"/>
      <c r="P272" s="82" t="n"/>
      <c r="Q272" s="82" t="n"/>
      <c r="R272" s="82" t="n"/>
    </row>
    <row r="273" ht="33" customHeight="1">
      <c r="A273" s="38">
        <f t="array" ref="A273">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_xlpm.テスト内容数（テスト内容が空の場合は1）, IF(_xlpm.テスト内容数=0,1,_xlpm.テスト内容数),
_xlpm.詳細項目数&amp;"-"&amp;_xlpm.観点数&amp;"-"&amp;_xlpm.テスト内容数（テスト内容が空の場合は1）
)</f>
        <v/>
      </c>
      <c r="B273" s="58" t="n"/>
      <c r="C273" s="58" t="n"/>
      <c r="D273" s="52" t="n"/>
      <c r="E273" s="50" t="n"/>
      <c r="F273" s="99" t="inlineStr">
        <is>
          <t>サロゲートペア文字を許容する設計となっている場合、サロゲートペア文字を含む電文を送信した結果がエラーとならないこと。</t>
        </is>
      </c>
      <c r="G273" s="99" t="n"/>
      <c r="H273" s="99" t="n"/>
      <c r="I273" s="99" t="n"/>
      <c r="J273" s="82" t="n"/>
      <c r="K273" s="82" t="n"/>
      <c r="L273" s="82" t="n"/>
      <c r="M273" s="82" t="n"/>
      <c r="N273" s="82" t="n"/>
      <c r="O273" s="82" t="n"/>
      <c r="P273" s="82" t="n"/>
      <c r="Q273" s="82" t="n"/>
      <c r="R273" s="82" t="n"/>
    </row>
    <row r="274" ht="22" customHeight="1">
      <c r="A274" s="38">
        <f t="array" ref="A274">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_xlpm.テスト内容数（テスト内容が空の場合は1）, IF(_xlpm.テスト内容数=0,1,_xlpm.テスト内容数),
_xlpm.詳細項目数&amp;"-"&amp;_xlpm.観点数&amp;"-"&amp;_xlpm.テスト内容数（テスト内容が空の場合は1）
)</f>
        <v/>
      </c>
      <c r="B274" s="58" t="n"/>
      <c r="C274" s="58" t="n"/>
      <c r="D274" s="52" t="n"/>
      <c r="E274" s="41" t="inlineStr">
        <is>
          <t>レコード件数</t>
        </is>
      </c>
      <c r="F274" s="99" t="inlineStr">
        <is>
          <t>期待通りの件数分、レコードが送信されること。</t>
        </is>
      </c>
      <c r="G274" s="99" t="n"/>
      <c r="H274" s="99" t="n"/>
      <c r="I274" s="99" t="n"/>
      <c r="J274" s="82" t="n"/>
      <c r="K274" s="82" t="n"/>
      <c r="L274" s="82" t="n"/>
      <c r="M274" s="82" t="n"/>
      <c r="N274" s="82" t="n"/>
      <c r="O274" s="82" t="n"/>
      <c r="P274" s="82" t="n"/>
      <c r="Q274" s="82" t="n"/>
      <c r="R274" s="82" t="n"/>
    </row>
    <row r="275" ht="33" customHeight="1">
      <c r="A275" s="38">
        <f t="array" ref="A275">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_xlpm.テスト内容数（テスト内容が空の場合は1）, IF(_xlpm.テスト内容数=0,1,_xlpm.テスト内容数),
_xlpm.詳細項目数&amp;"-"&amp;_xlpm.観点数&amp;"-"&amp;_xlpm.テスト内容数（テスト内容が空の場合は1）
)</f>
        <v/>
      </c>
      <c r="B275" s="58" t="n"/>
      <c r="C275" s="58" t="n"/>
      <c r="D275" s="52" t="n"/>
      <c r="E275" s="41" t="n"/>
      <c r="F275" s="99" t="inlineStr">
        <is>
          <t>送信するレコード件数が複数件の場合、［システム機能設計書/共通コンポーネント設計書の記載通りの挙動］となること。</t>
        </is>
      </c>
      <c r="G275" s="99" t="n"/>
      <c r="H275" s="99" t="n"/>
      <c r="I275" s="99" t="n"/>
      <c r="J275" s="82" t="n"/>
      <c r="K275" s="82" t="n"/>
      <c r="L275" s="82" t="n"/>
      <c r="M275" s="82" t="n"/>
      <c r="N275" s="82" t="n"/>
      <c r="O275" s="82" t="n"/>
      <c r="P275" s="82" t="n"/>
      <c r="Q275" s="82" t="n"/>
      <c r="R275" s="82" t="n"/>
    </row>
    <row r="276" ht="44" customHeight="1">
      <c r="A276" s="38">
        <f t="array" ref="A276">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_xlpm.テスト内容数（テスト内容が空の場合は1）, IF(_xlpm.テスト内容数=0,1,_xlpm.テスト内容数),
_xlpm.詳細項目数&amp;"-"&amp;_xlpm.観点数&amp;"-"&amp;_xlpm.テスト内容数（テスト内容が空の場合は1）
)</f>
        <v/>
      </c>
      <c r="B276" s="58" t="n"/>
      <c r="C276" s="58" t="n"/>
      <c r="D276" s="52" t="n"/>
      <c r="E276" s="41" t="n"/>
      <c r="F276" s="99" t="inlineStr">
        <is>
          <t>1本の電文に出力するレコードの最大件数が決まっている場合、最大件数分のレコードを出力した結果が［システム機能設計書/共通コンポーネント設計書の記載通り］であること。</t>
        </is>
      </c>
      <c r="G276" s="99" t="n"/>
      <c r="H276" s="99" t="n"/>
      <c r="I276" s="99" t="n"/>
      <c r="J276" s="82" t="n"/>
      <c r="K276" s="82" t="n"/>
      <c r="L276" s="82" t="n"/>
      <c r="M276" s="82" t="n"/>
      <c r="N276" s="82" t="n"/>
      <c r="O276" s="82" t="n"/>
      <c r="P276" s="82" t="n"/>
      <c r="Q276" s="82" t="n"/>
      <c r="R276" s="82" t="n"/>
    </row>
    <row r="277" ht="44" customHeight="1">
      <c r="A277" s="38">
        <f t="array" ref="A277">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_xlpm.テスト内容数（テスト内容が空の場合は1）, IF(_xlpm.テスト内容数=0,1,_xlpm.テスト内容数),
_xlpm.詳細項目数&amp;"-"&amp;_xlpm.観点数&amp;"-"&amp;_xlpm.テスト内容数（テスト内容が空の場合は1）
)</f>
        <v/>
      </c>
      <c r="B277" s="58" t="n"/>
      <c r="C277" s="58" t="n"/>
      <c r="D277" s="52" t="n"/>
      <c r="E277" s="41" t="n"/>
      <c r="F277" s="99" t="inlineStr">
        <is>
          <t>1本の電文に出力するレコードの最大件数が決まっている場合、最大件数+1件分のレコードを出力した結果が［システム機能設計書/共通コンポーネント設計書の記載通り］であること。</t>
        </is>
      </c>
      <c r="G277" s="99" t="n"/>
      <c r="H277" s="99" t="n"/>
      <c r="I277" s="99" t="n"/>
      <c r="J277" s="82" t="n"/>
      <c r="K277" s="82" t="n"/>
      <c r="L277" s="82" t="n"/>
      <c r="M277" s="82" t="n"/>
      <c r="N277" s="82" t="n"/>
      <c r="O277" s="82" t="n"/>
      <c r="P277" s="82" t="n"/>
      <c r="Q277" s="82" t="n"/>
      <c r="R277" s="82" t="n"/>
    </row>
    <row r="278" ht="22" customHeight="1">
      <c r="A278" s="38">
        <f t="array" ref="A278">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_xlpm.テスト内容数（テスト内容が空の場合は1）, IF(_xlpm.テスト内容数=0,1,_xlpm.テスト内容数),
_xlpm.詳細項目数&amp;"-"&amp;_xlpm.観点数&amp;"-"&amp;_xlpm.テスト内容数（テスト内容が空の場合は1）
)</f>
        <v/>
      </c>
      <c r="B278" s="58" t="n"/>
      <c r="C278" s="58" t="n"/>
      <c r="D278" s="52" t="n"/>
      <c r="E278" s="41" t="n"/>
      <c r="F278" s="99" t="inlineStr">
        <is>
          <t>送信するレコードが0件の場合、［システム機能設計書/共通コンポーネント設計書の記載通りの挙動］となること。</t>
        </is>
      </c>
      <c r="G278" s="99" t="n"/>
      <c r="H278" s="99" t="n"/>
      <c r="I278" s="99" t="n"/>
      <c r="J278" s="82" t="n"/>
      <c r="K278" s="82" t="n"/>
      <c r="L278" s="82" t="n"/>
      <c r="M278" s="82" t="n"/>
      <c r="N278" s="82" t="n"/>
      <c r="O278" s="82" t="n"/>
      <c r="P278" s="82" t="n"/>
      <c r="Q278" s="82" t="n"/>
      <c r="R278" s="82" t="n"/>
    </row>
    <row r="279" ht="44" customHeight="1">
      <c r="A279" s="38">
        <f t="array" ref="A279">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_xlpm.テスト内容数（テスト内容が空の場合は1）, IF(_xlpm.テスト内容数=0,1,_xlpm.テスト内容数),
_xlpm.詳細項目数&amp;"-"&amp;_xlpm.観点数&amp;"-"&amp;_xlpm.テスト内容数（テスト内容が空の場合は1）
)</f>
        <v/>
      </c>
      <c r="B279" s="58" t="n"/>
      <c r="C279" s="58" t="n"/>
      <c r="D279" s="52" t="n"/>
      <c r="E279" s="41" t="n"/>
      <c r="F279" s="99" t="inlineStr">
        <is>
          <t>送信する電文がマルチレイアウトの場合、同一レコード種類のレコードが複数件存在する時の処理が［システム機能設計書/共通コンポーネント設計書の記載通り］であること。</t>
        </is>
      </c>
      <c r="G279" s="99" t="n"/>
      <c r="H279" s="99" t="n"/>
      <c r="I279" s="99" t="n"/>
      <c r="J279" s="82" t="n"/>
      <c r="K279" s="82" t="n"/>
      <c r="L279" s="82" t="n"/>
      <c r="M279" s="82" t="n"/>
      <c r="N279" s="82" t="n"/>
      <c r="O279" s="82" t="n"/>
      <c r="P279" s="82" t="n"/>
      <c r="Q279" s="82" t="n"/>
      <c r="R279" s="82" t="n"/>
    </row>
    <row r="280" ht="44" customHeight="1">
      <c r="A280" s="38">
        <f t="array" ref="A280">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_xlpm.テスト内容数（テスト内容が空の場合は1）, IF(_xlpm.テスト内容数=0,1,_xlpm.テスト内容数),
_xlpm.詳細項目数&amp;"-"&amp;_xlpm.観点数&amp;"-"&amp;_xlpm.テスト内容数（テスト内容が空の場合は1）
)</f>
        <v/>
      </c>
      <c r="B280" s="58" t="n"/>
      <c r="C280" s="58" t="n"/>
      <c r="D280" s="52" t="n"/>
      <c r="E280" s="41" t="n"/>
      <c r="F280" s="99" t="inlineStr">
        <is>
          <t>送信する電文がマルチレイアウトの場合、レコード種類のうちデータレコードにあたる件数が0件の時、［システム機能設計書/共通コンポーネント設計書の記載通りの挙動］であること。</t>
        </is>
      </c>
      <c r="G280" s="99" t="n"/>
      <c r="H280" s="99" t="n"/>
      <c r="I280" s="99" t="n"/>
      <c r="J280" s="82" t="n"/>
      <c r="K280" s="82" t="n"/>
      <c r="L280" s="82" t="n"/>
      <c r="M280" s="82" t="n"/>
      <c r="N280" s="82" t="n"/>
      <c r="O280" s="82" t="n"/>
      <c r="P280" s="82" t="n"/>
      <c r="Q280" s="82" t="n"/>
      <c r="R280" s="82" t="n"/>
    </row>
    <row r="281" ht="22" customHeight="1">
      <c r="A281" s="38">
        <f t="array" ref="A28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_xlpm.テスト内容数（テスト内容が空の場合は1）, IF(_xlpm.テスト内容数=0,1,_xlpm.テスト内容数),
_xlpm.詳細項目数&amp;"-"&amp;_xlpm.観点数&amp;"-"&amp;_xlpm.テスト内容数（テスト内容が空の場合は1）
)</f>
        <v/>
      </c>
      <c r="B281" s="58" t="n"/>
      <c r="C281" s="58" t="n"/>
      <c r="D281" s="52" t="n"/>
      <c r="E281" s="50" t="n"/>
      <c r="F281" s="99" t="inlineStr">
        <is>
          <t>送信する電文がマルチレイアウトで、全レコード種類が含まれる場合、エラーとならないこと。</t>
        </is>
      </c>
      <c r="G281" s="99" t="n"/>
      <c r="H281" s="99" t="n"/>
      <c r="I281" s="99" t="n"/>
      <c r="J281" s="82" t="n"/>
      <c r="K281" s="82" t="n"/>
      <c r="L281" s="82" t="n"/>
      <c r="M281" s="82" t="n"/>
      <c r="N281" s="82" t="n"/>
      <c r="O281" s="82" t="n"/>
      <c r="P281" s="82" t="n"/>
      <c r="Q281" s="82" t="n"/>
      <c r="R281" s="82" t="n"/>
    </row>
    <row r="282" ht="22" customHeight="1">
      <c r="A282" s="38">
        <f t="array" ref="A282">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_xlpm.テスト内容数（テスト内容が空の場合は1）, IF(_xlpm.テスト内容数=0,1,_xlpm.テスト内容数),
_xlpm.詳細項目数&amp;"-"&amp;_xlpm.観点数&amp;"-"&amp;_xlpm.テスト内容数（テスト内容が空の場合は1）
)</f>
        <v/>
      </c>
      <c r="B282" s="286" t="n"/>
      <c r="C282" s="286" t="n"/>
      <c r="D282" s="49" t="n"/>
      <c r="E282" s="50" t="inlineStr">
        <is>
          <t>ソート順</t>
        </is>
      </c>
      <c r="F282" s="99" t="inlineStr">
        <is>
          <t>送信するレコードのソート順が［システム機能設計書/共通コンポーネント設計書の記載通り］であること。</t>
        </is>
      </c>
      <c r="G282" s="99" t="n"/>
      <c r="H282" s="99" t="n"/>
      <c r="I282" s="99" t="n"/>
      <c r="J282" s="82" t="n"/>
      <c r="K282" s="82" t="n"/>
      <c r="L282" s="82" t="n"/>
      <c r="M282" s="82" t="n"/>
      <c r="N282" s="82" t="n"/>
      <c r="O282" s="82" t="n"/>
      <c r="P282" s="82" t="n"/>
      <c r="Q282" s="82" t="n"/>
      <c r="R282" s="82" t="n"/>
    </row>
    <row r="283" ht="22" customHeight="1">
      <c r="A283" s="38">
        <f t="array" ref="A283">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_xlpm.テスト内容数（テスト内容が空の場合は1）, IF(_xlpm.テスト内容数=0,1,_xlpm.テスト内容数),
_xlpm.詳細項目数&amp;"-"&amp;_xlpm.観点数&amp;"-"&amp;_xlpm.テスト内容数（テスト内容が空の場合は1）
)</f>
        <v/>
      </c>
      <c r="B283" s="39" t="inlineStr">
        <is>
          <t>ログ出力</t>
        </is>
      </c>
      <c r="C283" s="40" t="inlineStr">
        <is>
          <t>ファイル操作</t>
        </is>
      </c>
      <c r="D283" s="40" t="inlineStr">
        <is>
          <t>-</t>
        </is>
      </c>
      <c r="E283" s="40" t="inlineStr">
        <is>
          <t>-</t>
        </is>
      </c>
      <c r="F283" s="99" t="inlineStr">
        <is>
          <t>ログファイルの格納先が［方式設計書の記載通り］であること。</t>
        </is>
      </c>
      <c r="G283" s="99" t="n"/>
      <c r="H283" s="99" t="n"/>
      <c r="I283" s="99" t="n"/>
      <c r="J283" s="82" t="n"/>
      <c r="K283" s="82" t="n"/>
      <c r="L283" s="44" t="n"/>
      <c r="M283" s="44" t="n"/>
      <c r="N283" s="82" t="n"/>
      <c r="O283" s="82" t="n"/>
      <c r="P283" s="82" t="n"/>
      <c r="Q283" s="82" t="n"/>
      <c r="R283" s="82" t="n"/>
    </row>
    <row r="284" ht="22" customHeight="1">
      <c r="A284" s="38">
        <f t="array" ref="A284">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_xlpm.テスト内容数（テスト内容が空の場合は1）, IF(_xlpm.テスト内容数=0,1,_xlpm.テスト内容数),
_xlpm.詳細項目数&amp;"-"&amp;_xlpm.観点数&amp;"-"&amp;_xlpm.テスト内容数（テスト内容が空の場合は1）
)</f>
        <v/>
      </c>
      <c r="B284" s="48" t="n"/>
      <c r="C284" s="54" t="n"/>
      <c r="D284" s="41" t="n"/>
      <c r="E284" s="41" t="n"/>
      <c r="F284" s="99" t="inlineStr">
        <is>
          <t>ログファイルのファイル名が［方式設計書の記載通り］であること。</t>
        </is>
      </c>
      <c r="G284" s="99" t="n"/>
      <c r="H284" s="99" t="n"/>
      <c r="I284" s="99" t="n"/>
      <c r="J284" s="82" t="n"/>
      <c r="K284" s="82" t="n"/>
      <c r="L284" s="44" t="n"/>
      <c r="M284" s="44" t="n"/>
      <c r="N284" s="82" t="n"/>
      <c r="O284" s="82" t="n"/>
      <c r="P284" s="82" t="n"/>
      <c r="Q284" s="82" t="n"/>
      <c r="R284" s="82" t="n"/>
    </row>
    <row r="285" ht="22" customHeight="1">
      <c r="A285" s="38">
        <f t="array" ref="A285">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_xlpm.テスト内容数（テスト内容が空の場合は1）, IF(_xlpm.テスト内容数=0,1,_xlpm.テスト内容数),
_xlpm.詳細項目数&amp;"-"&amp;_xlpm.観点数&amp;"-"&amp;_xlpm.テスト内容数（テスト内容が空の場合は1）
)</f>
        <v/>
      </c>
      <c r="B285" s="48" t="n"/>
      <c r="C285" s="54" t="n"/>
      <c r="D285" s="41" t="n"/>
      <c r="E285" s="41" t="n"/>
      <c r="F285" s="99" t="inlineStr">
        <is>
          <t>ログファイルのアクセス権限が［方式設計書の記載通り］であること。</t>
        </is>
      </c>
      <c r="G285" s="99" t="n"/>
      <c r="H285" s="99" t="n"/>
      <c r="I285" s="99" t="n"/>
      <c r="J285" s="82" t="n"/>
      <c r="K285" s="82" t="n"/>
      <c r="L285" s="44" t="n"/>
      <c r="M285" s="44" t="n"/>
      <c r="N285" s="82" t="n"/>
      <c r="O285" s="82" t="n"/>
      <c r="P285" s="82" t="n"/>
      <c r="Q285" s="82" t="n"/>
      <c r="R285" s="82" t="n"/>
    </row>
    <row r="286" ht="22" customHeight="1">
      <c r="A286" s="38">
        <f t="array" ref="A286">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_xlpm.テスト内容数（テスト内容が空の場合は1）, IF(_xlpm.テスト内容数=0,1,_xlpm.テスト内容数),
_xlpm.詳細項目数&amp;"-"&amp;_xlpm.観点数&amp;"-"&amp;_xlpm.テスト内容数（テスト内容が空の場合は1）
)</f>
        <v/>
      </c>
      <c r="B286" s="48" t="n"/>
      <c r="C286" s="75" t="n"/>
      <c r="D286" s="50" t="n"/>
      <c r="E286" s="50" t="n"/>
      <c r="F286" s="99" t="inlineStr">
        <is>
          <t>ログファイルの所有権が［方式設計書の記載通り］であること。</t>
        </is>
      </c>
      <c r="G286" s="99" t="n"/>
      <c r="H286" s="99" t="n"/>
      <c r="I286" s="99" t="n"/>
      <c r="J286" s="82" t="n"/>
      <c r="K286" s="82" t="n"/>
      <c r="L286" s="44" t="n"/>
      <c r="M286" s="44" t="n"/>
      <c r="N286" s="82" t="n"/>
      <c r="O286" s="82" t="n"/>
      <c r="P286" s="82" t="n"/>
      <c r="Q286" s="82" t="n"/>
      <c r="R286" s="82" t="n"/>
    </row>
    <row r="287" ht="22" customHeight="1">
      <c r="A287" s="38">
        <f t="array" ref="A287">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_xlpm.テスト内容数（テスト内容が空の場合は1）, IF(_xlpm.テスト内容数=0,1,_xlpm.テスト内容数),
_xlpm.詳細項目数&amp;"-"&amp;_xlpm.観点数&amp;"-"&amp;_xlpm.テスト内容数（テスト内容が空の場合は1）
)</f>
        <v/>
      </c>
      <c r="B287" s="48" t="n"/>
      <c r="C287" s="41" t="inlineStr">
        <is>
          <t>ログ編集</t>
        </is>
      </c>
      <c r="D287" s="41" t="inlineStr">
        <is>
          <t>フォーマット定義</t>
        </is>
      </c>
      <c r="E287" s="99" t="inlineStr">
        <is>
          <t>文字コード</t>
        </is>
      </c>
      <c r="F287" s="99" t="inlineStr">
        <is>
          <t>ログファイルの文字コードが［方式設計書の記載通り］であること。</t>
        </is>
      </c>
      <c r="G287" s="99" t="n"/>
      <c r="H287" s="99" t="n"/>
      <c r="I287" s="99" t="n"/>
      <c r="J287" s="82" t="n"/>
      <c r="K287" s="82" t="n"/>
      <c r="L287" s="44" t="n"/>
      <c r="M287" s="44" t="n"/>
      <c r="N287" s="82" t="n"/>
      <c r="O287" s="82" t="n"/>
      <c r="P287" s="82" t="n"/>
      <c r="Q287" s="82" t="n"/>
      <c r="R287" s="82" t="n"/>
    </row>
    <row r="288" ht="22" customHeight="1">
      <c r="A288" s="38">
        <f t="array" ref="A288">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_xlpm.テスト内容数（テスト内容が空の場合は1）, IF(_xlpm.テスト内容数=0,1,_xlpm.テスト内容数),
_xlpm.詳細項目数&amp;"-"&amp;_xlpm.観点数&amp;"-"&amp;_xlpm.テスト内容数（テスト内容が空の場合は1）
)</f>
        <v/>
      </c>
      <c r="B288" s="48" t="n"/>
      <c r="C288" s="54" t="n"/>
      <c r="D288" s="41" t="n"/>
      <c r="E288" s="50" t="inlineStr">
        <is>
          <t>改行コード</t>
        </is>
      </c>
      <c r="F288" s="99" t="inlineStr">
        <is>
          <t>ログファイルの改行コードが［方式設計書の記載通り］であること。</t>
        </is>
      </c>
      <c r="G288" s="99" t="n"/>
      <c r="H288" s="99" t="n"/>
      <c r="I288" s="99" t="n"/>
      <c r="J288" s="82" t="n"/>
      <c r="K288" s="82" t="n"/>
      <c r="L288" s="44" t="n"/>
      <c r="M288" s="44" t="n"/>
      <c r="N288" s="82" t="n"/>
      <c r="O288" s="82" t="n"/>
      <c r="P288" s="82" t="n"/>
      <c r="Q288" s="82" t="n"/>
      <c r="R288" s="82" t="n"/>
    </row>
    <row r="289" ht="22" customHeight="1">
      <c r="A289" s="38">
        <f t="array" ref="A289">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_xlpm.テスト内容数（テスト内容が空の場合は1）, IF(_xlpm.テスト内容数=0,1,_xlpm.テスト内容数),
_xlpm.詳細項目数&amp;"-"&amp;_xlpm.観点数&amp;"-"&amp;_xlpm.テスト内容数（テスト内容が空の場合は1）
)</f>
        <v/>
      </c>
      <c r="B289" s="48" t="n"/>
      <c r="C289" s="54" t="n"/>
      <c r="D289" s="41" t="n"/>
      <c r="E289" s="99" t="inlineStr">
        <is>
          <t>区切り文字</t>
        </is>
      </c>
      <c r="F289" s="99" t="inlineStr">
        <is>
          <t>ログファイルの区切り文字が［方式設計書の記載通り］であること。</t>
        </is>
      </c>
      <c r="G289" s="99" t="n"/>
      <c r="H289" s="99" t="n"/>
      <c r="I289" s="99" t="n"/>
      <c r="J289" s="82" t="n"/>
      <c r="K289" s="82" t="n"/>
      <c r="L289" s="44" t="n"/>
      <c r="M289" s="44" t="n"/>
      <c r="N289" s="82" t="n"/>
      <c r="O289" s="82" t="n"/>
      <c r="P289" s="82" t="n"/>
      <c r="Q289" s="82" t="n"/>
      <c r="R289" s="82" t="n"/>
    </row>
    <row r="290" ht="22" customHeight="1">
      <c r="A290" s="38">
        <f t="array" ref="A290">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_xlpm.テスト内容数（テスト内容が空の場合は1）, IF(_xlpm.テスト内容数=0,1,_xlpm.テスト内容数),
_xlpm.詳細項目数&amp;"-"&amp;_xlpm.観点数&amp;"-"&amp;_xlpm.テスト内容数（テスト内容が空の場合は1）
)</f>
        <v/>
      </c>
      <c r="B290" s="48" t="n"/>
      <c r="C290" s="54" t="n"/>
      <c r="D290" s="50" t="n"/>
      <c r="E290" s="50" t="inlineStr">
        <is>
          <t>ソート順</t>
        </is>
      </c>
      <c r="F290" s="99" t="inlineStr">
        <is>
          <t>ログファイルの項目並び順が［方式設計書の記載通り］であること。</t>
        </is>
      </c>
      <c r="G290" s="99" t="n"/>
      <c r="H290" s="99" t="n"/>
      <c r="I290" s="99" t="n"/>
      <c r="J290" s="82" t="n"/>
      <c r="K290" s="82" t="n"/>
      <c r="L290" s="44" t="n"/>
      <c r="M290" s="44" t="n"/>
      <c r="N290" s="82" t="n"/>
      <c r="O290" s="82" t="n"/>
      <c r="P290" s="82" t="n"/>
      <c r="Q290" s="82" t="n"/>
      <c r="R290" s="82" t="n"/>
    </row>
    <row r="291" ht="22" customHeight="1">
      <c r="A291" s="38">
        <f t="array" ref="A29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_xlpm.テスト内容数（テスト内容が空の場合は1）, IF(_xlpm.テスト内容数=0,1,_xlpm.テスト内容数),
_xlpm.詳細項目数&amp;"-"&amp;_xlpm.観点数&amp;"-"&amp;_xlpm.テスト内容数（テスト内容が空の場合は1）
)</f>
        <v/>
      </c>
      <c r="B291" s="48" t="n"/>
      <c r="C291" s="48" t="n"/>
      <c r="D291" s="41" t="inlineStr">
        <is>
          <t>出力内容</t>
        </is>
      </c>
      <c r="E291" s="41" t="inlineStr">
        <is>
          <t>編集仕様</t>
        </is>
      </c>
      <c r="F291" s="99" t="inlineStr">
        <is>
          <t>出力された正常時のログの内容が［メッセージ設計書の記載通り］であること。</t>
        </is>
      </c>
      <c r="G291" s="99" t="n"/>
      <c r="H291" s="99" t="n"/>
      <c r="I291" s="99" t="n"/>
      <c r="J291" s="82" t="n"/>
      <c r="K291" s="82" t="n"/>
      <c r="L291" s="44" t="n"/>
      <c r="M291" s="44" t="n"/>
      <c r="N291" s="82" t="n"/>
      <c r="O291" s="82" t="n"/>
      <c r="P291" s="82" t="n"/>
      <c r="Q291" s="82" t="n"/>
      <c r="R291" s="82" t="n"/>
    </row>
    <row r="292" ht="22" customHeight="1">
      <c r="A292" s="38">
        <f t="array" ref="A292">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_xlpm.テスト内容数（テスト内容が空の場合は1）, IF(_xlpm.テスト内容数=0,1,_xlpm.テスト内容数),
_xlpm.詳細項目数&amp;"-"&amp;_xlpm.観点数&amp;"-"&amp;_xlpm.テスト内容数（テスト内容が空の場合は1）
)</f>
        <v/>
      </c>
      <c r="B292" s="48" t="n"/>
      <c r="C292" s="48" t="n"/>
      <c r="D292" s="52" t="n"/>
      <c r="E292" s="41" t="n"/>
      <c r="F292" s="99" t="inlineStr">
        <is>
          <t>出力された異常時のログ（エラーログ）の内容が［メッセージ設計書の記載通り］であること。</t>
        </is>
      </c>
      <c r="G292" s="99" t="n"/>
      <c r="H292" s="99" t="n"/>
      <c r="I292" s="99" t="n"/>
      <c r="J292" s="82" t="n"/>
      <c r="K292" s="82" t="n"/>
      <c r="L292" s="44" t="n"/>
      <c r="M292" s="44" t="n"/>
      <c r="N292" s="82" t="n"/>
      <c r="O292" s="82" t="n"/>
      <c r="P292" s="82" t="n"/>
      <c r="Q292" s="82" t="n"/>
      <c r="R292" s="82" t="n"/>
    </row>
    <row r="293" ht="33" customHeight="1">
      <c r="A293" s="38">
        <f t="array" ref="A293">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_xlpm.テスト内容数（テスト内容が空の場合は1）, IF(_xlpm.テスト内容数=0,1,_xlpm.テスト内容数),
_xlpm.詳細項目数&amp;"-"&amp;_xlpm.観点数&amp;"-"&amp;_xlpm.テスト内容数（テスト内容が空の場合は1）
)</f>
        <v/>
      </c>
      <c r="B293" s="48" t="n"/>
      <c r="C293" s="48" t="n"/>
      <c r="D293" s="52" t="n"/>
      <c r="E293" s="41" t="n"/>
      <c r="F293" s="99" t="inlineStr">
        <is>
          <t>取得した値を変換する設計となっている場合、出力された値が［システム機能設計書/共通コンポーネント設計書の記載通り］であること。</t>
        </is>
      </c>
      <c r="G293" s="99" t="n"/>
      <c r="H293" s="99" t="n"/>
      <c r="I293" s="99" t="n"/>
      <c r="J293" s="82" t="n"/>
      <c r="K293" s="82" t="n"/>
      <c r="L293" s="44" t="n"/>
      <c r="M293" s="44" t="n"/>
      <c r="N293" s="82" t="n"/>
      <c r="O293" s="82" t="n"/>
      <c r="P293" s="82" t="n"/>
      <c r="Q293" s="82" t="n"/>
      <c r="R293" s="82" t="n"/>
    </row>
    <row r="294" ht="33" customHeight="1">
      <c r="A294" s="38">
        <f t="array" ref="A294">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_xlpm.テスト内容数（テスト内容が空の場合は1）, IF(_xlpm.テスト内容数=0,1,_xlpm.テスト内容数),
_xlpm.詳細項目数&amp;"-"&amp;_xlpm.観点数&amp;"-"&amp;_xlpm.テスト内容数（テスト内容が空の場合は1）
)</f>
        <v/>
      </c>
      <c r="B294" s="48" t="n"/>
      <c r="C294" s="48" t="n"/>
      <c r="D294" s="52" t="n"/>
      <c r="E294" s="41" t="n"/>
      <c r="F294" s="99" t="inlineStr">
        <is>
          <t>取得した値を編集する処理が分岐する設計となっている場合、出力された値が［システム機能設計書/共通コンポーネント設計書の記載通り］であること。</t>
        </is>
      </c>
      <c r="G294" s="99" t="n"/>
      <c r="H294" s="99" t="n"/>
      <c r="I294" s="99" t="n"/>
      <c r="J294" s="82" t="n"/>
      <c r="K294" s="82" t="n"/>
      <c r="L294" s="44" t="n"/>
      <c r="M294" s="44" t="n"/>
      <c r="N294" s="82" t="n"/>
      <c r="O294" s="82" t="n"/>
      <c r="P294" s="82" t="n"/>
      <c r="Q294" s="82" t="n"/>
      <c r="R294" s="82" t="n"/>
    </row>
    <row r="295" ht="33" customHeight="1">
      <c r="A295" s="38">
        <f t="array" ref="A295">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_xlpm.テスト内容数（テスト内容が空の場合は1）, IF(_xlpm.テスト内容数=0,1,_xlpm.テスト内容数),
_xlpm.詳細項目数&amp;"-"&amp;_xlpm.観点数&amp;"-"&amp;_xlpm.テスト内容数（テスト内容が空の場合は1）
)</f>
        <v/>
      </c>
      <c r="B295" s="48" t="n"/>
      <c r="C295" s="48" t="n"/>
      <c r="D295" s="52" t="n"/>
      <c r="E295" s="41" t="n"/>
      <c r="F295" s="99" t="inlineStr">
        <is>
          <t>ループ処理によって、取得した値の編集を繰り返す設計となっている場合、出力された値が［システム機能設計書/共通コンポーネント設計書の記載通り］であること。</t>
        </is>
      </c>
      <c r="G295" s="99" t="n"/>
      <c r="H295" s="99" t="n"/>
      <c r="I295" s="99" t="n"/>
      <c r="J295" s="82" t="n"/>
      <c r="K295" s="82" t="n"/>
      <c r="L295" s="44" t="n"/>
      <c r="M295" s="44" t="n"/>
      <c r="N295" s="82" t="n"/>
      <c r="O295" s="82" t="n"/>
      <c r="P295" s="82" t="n"/>
      <c r="Q295" s="82" t="n"/>
      <c r="R295" s="82" t="n"/>
    </row>
    <row r="296" ht="33" customHeight="1">
      <c r="A296" s="38">
        <f t="array" ref="A296">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_xlpm.テスト内容数（テスト内容が空の場合は1）, IF(_xlpm.テスト内容数=0,1,_xlpm.テスト内容数),
_xlpm.詳細項目数&amp;"-"&amp;_xlpm.観点数&amp;"-"&amp;_xlpm.テスト内容数（テスト内容が空の場合は1）
)</f>
        <v/>
      </c>
      <c r="B296" s="48" t="n"/>
      <c r="C296" s="48" t="n"/>
      <c r="D296" s="52" t="n"/>
      <c r="E296" s="41" t="n"/>
      <c r="F296" s="99" t="inlineStr">
        <is>
          <t>取得した値を使用して計算する設計となっている場合、出力された値が［システム機能設計書/共通コンポーネント設計書の記載通り］であること。</t>
        </is>
      </c>
      <c r="G296" s="99" t="n"/>
      <c r="H296" s="99" t="n"/>
      <c r="I296" s="99" t="n"/>
      <c r="J296" s="82" t="n"/>
      <c r="K296" s="82" t="n"/>
      <c r="L296" s="44" t="n"/>
      <c r="M296" s="44" t="n"/>
      <c r="N296" s="82" t="n"/>
      <c r="O296" s="82" t="n"/>
      <c r="P296" s="82" t="n"/>
      <c r="Q296" s="82" t="n"/>
      <c r="R296" s="82" t="n"/>
    </row>
    <row r="297" ht="33" customHeight="1">
      <c r="A297" s="38">
        <f t="array" ref="A297">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_xlpm.テスト内容数（テスト内容が空の場合は1）, IF(_xlpm.テスト内容数=0,1,_xlpm.テスト内容数),
_xlpm.詳細項目数&amp;"-"&amp;_xlpm.観点数&amp;"-"&amp;_xlpm.テスト内容数（テスト内容が空の場合は1）
)</f>
        <v/>
      </c>
      <c r="B297" s="48" t="n"/>
      <c r="C297" s="48" t="n"/>
      <c r="D297" s="52" t="n"/>
      <c r="E297" s="41" t="n"/>
      <c r="F297" s="99" t="inlineStr">
        <is>
          <t>取得した値を連結する設計となっている場合、出力された値が［システム機能設計書/共通コンポーネント設計書の記載通り］であること。</t>
        </is>
      </c>
      <c r="G297" s="99" t="n"/>
      <c r="H297" s="99" t="n"/>
      <c r="I297" s="99" t="n"/>
      <c r="J297" s="82" t="n"/>
      <c r="K297" s="82" t="n"/>
      <c r="L297" s="44" t="n"/>
      <c r="M297" s="44" t="n"/>
      <c r="N297" s="82" t="n"/>
      <c r="O297" s="82" t="n"/>
      <c r="P297" s="82" t="n"/>
      <c r="Q297" s="82" t="n"/>
      <c r="R297" s="82" t="n"/>
    </row>
    <row r="298" ht="22" customHeight="1">
      <c r="A298" s="38">
        <f t="array" ref="A298">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_xlpm.テスト内容数（テスト内容が空の場合は1）, IF(_xlpm.テスト内容数=0,1,_xlpm.テスト内容数),
_xlpm.詳細項目数&amp;"-"&amp;_xlpm.観点数&amp;"-"&amp;_xlpm.テスト内容数（テスト内容が空の場合は1）
)</f>
        <v/>
      </c>
      <c r="B298" s="48" t="n"/>
      <c r="C298" s="48" t="n"/>
      <c r="D298" s="52" t="n"/>
      <c r="E298" s="41" t="n"/>
      <c r="F298" s="99" t="inlineStr">
        <is>
          <t>取得した値を暗号化する設計となっている場合、出力された値が暗号化されること。</t>
        </is>
      </c>
      <c r="G298" s="99" t="n"/>
      <c r="H298" s="99" t="n"/>
      <c r="I298" s="99" t="n"/>
      <c r="J298" s="82" t="n"/>
      <c r="K298" s="82" t="n"/>
      <c r="L298" s="44" t="n"/>
      <c r="M298" s="44" t="n"/>
      <c r="N298" s="82" t="n"/>
      <c r="O298" s="82" t="n"/>
      <c r="P298" s="82" t="n"/>
      <c r="Q298" s="82" t="n"/>
      <c r="R298" s="82" t="n"/>
    </row>
    <row r="299" ht="22" customHeight="1">
      <c r="A299" s="38">
        <f t="array" ref="A299">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_xlpm.テスト内容数（テスト内容が空の場合は1）, IF(_xlpm.テスト内容数=0,1,_xlpm.テスト内容数),
_xlpm.詳細項目数&amp;"-"&amp;_xlpm.観点数&amp;"-"&amp;_xlpm.テスト内容数（テスト内容が空の場合は1）
)</f>
        <v/>
      </c>
      <c r="B299" s="57" t="n"/>
      <c r="C299" s="57" t="n"/>
      <c r="D299" s="49" t="n"/>
      <c r="E299" s="50" t="n"/>
      <c r="F299" s="99" t="inlineStr">
        <is>
          <t>取得した値をマスキングする設計となっている場合、出力された値がマスキングされること。</t>
        </is>
      </c>
      <c r="G299" s="99" t="n"/>
      <c r="H299" s="99" t="n"/>
      <c r="I299" s="99" t="n"/>
      <c r="J299" s="82" t="n"/>
      <c r="K299" s="82" t="n"/>
      <c r="L299" s="44" t="n"/>
      <c r="M299" s="44" t="n"/>
      <c r="N299" s="82" t="n"/>
      <c r="O299" s="82" t="n"/>
      <c r="P299" s="82" t="n"/>
      <c r="Q299" s="82" t="n"/>
      <c r="R299" s="82" t="n"/>
    </row>
    <row r="300" ht="33" customFormat="1" customHeight="1" s="88">
      <c r="A300" s="38">
        <f t="array" ref="A300">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_xlpm.テスト内容数（テスト内容が空の場合は1）, IF(_xlpm.テスト内容数=0,1,_xlpm.テスト内容数),
_xlpm.詳細項目数&amp;"-"&amp;_xlpm.観点数&amp;"-"&amp;_xlpm.テスト内容数（テスト内容が空の場合は1）
)</f>
        <v/>
      </c>
      <c r="B300" s="78" t="inlineStr">
        <is>
          <t>ウェブサービス機能</t>
        </is>
      </c>
      <c r="C300" s="79" t="inlineStr">
        <is>
          <t>実行結果</t>
        </is>
      </c>
      <c r="D300" s="79" t="inlineStr">
        <is>
          <t>-</t>
        </is>
      </c>
      <c r="E300" s="79" t="inlineStr">
        <is>
          <t>-</t>
        </is>
      </c>
      <c r="F300" s="162" t="inlineStr">
        <is>
          <t>処理の実行結果が、受信したHTTPメソッドの種類に応じて［システム機能設計書/共通コンポーネント設計書の記載通り］であること。</t>
        </is>
      </c>
      <c r="G300" s="81" t="n"/>
      <c r="H300" s="78" t="n"/>
      <c r="I300" s="78" t="n"/>
      <c r="J300" s="82" t="n"/>
      <c r="K300" s="83" t="n"/>
      <c r="L300" s="84" t="n"/>
      <c r="M300" s="85" t="n"/>
      <c r="N300" s="86" t="n"/>
      <c r="O300" s="86" t="n"/>
      <c r="P300" s="86" t="n"/>
      <c r="Q300" s="86" t="n"/>
      <c r="R300" s="87" t="n"/>
      <c r="S300" s="88" t="n"/>
      <c r="T300" s="88" t="n"/>
    </row>
    <row r="301" ht="22" customFormat="1" customHeight="1" s="88">
      <c r="A301" s="38">
        <f t="array" ref="A30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_xlpm.テスト内容数（テスト内容が空の場合は1）, IF(_xlpm.テスト内容数=0,1,_xlpm.テスト内容数),
_xlpm.詳細項目数&amp;"-"&amp;_xlpm.観点数&amp;"-"&amp;_xlpm.テスト内容数（テスト内容が空の場合は1）
)</f>
        <v/>
      </c>
      <c r="B301" s="89" t="n"/>
      <c r="C301" s="90" t="n"/>
      <c r="D301" s="79" t="inlineStr">
        <is>
          <t>HTTPステータス</t>
        </is>
      </c>
      <c r="E301" s="91" t="inlineStr">
        <is>
          <t>-</t>
        </is>
      </c>
      <c r="F301" s="92" t="inlineStr">
        <is>
          <t>実行結果に応じたHTTPステータスコードが応答されること。</t>
        </is>
      </c>
      <c r="G301" s="81" t="n"/>
      <c r="H301" s="78" t="n"/>
      <c r="I301" s="78" t="n"/>
      <c r="J301" s="82" t="n"/>
      <c r="K301" s="84" t="n"/>
      <c r="L301" s="84" t="n"/>
      <c r="M301" s="85" t="n"/>
      <c r="N301" s="93" t="n"/>
      <c r="O301" s="93" t="n"/>
      <c r="P301" s="93" t="n"/>
      <c r="Q301" s="93" t="n"/>
      <c r="R301" s="94" t="n"/>
      <c r="S301" s="88" t="n"/>
      <c r="T301" s="88" t="n"/>
    </row>
    <row r="302" ht="33" customFormat="1" customHeight="1" s="88">
      <c r="A302" s="38">
        <f t="array" ref="A302">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_xlpm.テスト内容数（テスト内容が空の場合は1）, IF(_xlpm.テスト内容数=0,1,_xlpm.テスト内容数),
_xlpm.詳細項目数&amp;"-"&amp;_xlpm.観点数&amp;"-"&amp;_xlpm.テスト内容数（テスト内容が空の場合は1）
)</f>
        <v/>
      </c>
      <c r="B302" s="89" t="n"/>
      <c r="C302" s="90" t="n"/>
      <c r="D302" s="79" t="inlineStr">
        <is>
          <t>リクエスト</t>
        </is>
      </c>
      <c r="E302" s="91" t="inlineStr">
        <is>
          <t>-</t>
        </is>
      </c>
      <c r="F302" s="92" t="inlineStr">
        <is>
          <t>正常なパラメータ値を設定して実行した結果が［システム機能設計書/共通コンポーネント設計書の記載通り］であること。</t>
        </is>
      </c>
      <c r="G302" s="81" t="n"/>
      <c r="H302" s="78" t="n"/>
      <c r="I302" s="78" t="n"/>
      <c r="J302" s="96" t="n"/>
      <c r="K302" s="96" t="n"/>
      <c r="L302" s="84" t="n"/>
      <c r="M302" s="85" t="n"/>
      <c r="N302" s="93" t="n"/>
      <c r="O302" s="93" t="n"/>
      <c r="P302" s="93" t="n"/>
      <c r="Q302" s="93" t="n"/>
      <c r="R302" s="94" t="n"/>
      <c r="S302" s="88" t="n"/>
      <c r="T302" s="88" t="n"/>
    </row>
    <row r="303" ht="33" customFormat="1" customHeight="1" s="88">
      <c r="A303" s="38">
        <f t="array" ref="A303">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_xlpm.テスト内容数（テスト内容が空の場合は1）, IF(_xlpm.テスト内容数=0,1,_xlpm.テスト内容数),
_xlpm.詳細項目数&amp;"-"&amp;_xlpm.観点数&amp;"-"&amp;_xlpm.テスト内容数（テスト内容が空の場合は1）
)</f>
        <v/>
      </c>
      <c r="B303" s="89" t="n"/>
      <c r="C303" s="90" t="n"/>
      <c r="D303" s="90" t="n"/>
      <c r="E303" s="95" t="n"/>
      <c r="F303" s="92" t="inlineStr">
        <is>
          <t>異常なパラメータ値を設定して実行した結果が［システム機能設計書/共通コンポーネント設計書の記載通り］であること。</t>
        </is>
      </c>
      <c r="G303" s="81" t="n"/>
      <c r="H303" s="78" t="n"/>
      <c r="I303" s="78" t="n"/>
      <c r="J303" s="96" t="n"/>
      <c r="K303" s="84" t="n"/>
      <c r="L303" s="97" t="n"/>
      <c r="M303" s="85" t="n"/>
      <c r="N303" s="93" t="n"/>
      <c r="O303" s="93" t="n"/>
      <c r="P303" s="93" t="n"/>
      <c r="Q303" s="93" t="n"/>
      <c r="R303" s="94" t="n"/>
      <c r="S303" s="88" t="n"/>
      <c r="T303" s="88" t="n"/>
    </row>
    <row r="304" ht="33" customFormat="1" customHeight="1" s="88">
      <c r="A304" s="38">
        <f t="array" ref="A304">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_xlpm.テスト内容数（テスト内容が空の場合は1）, IF(_xlpm.テスト内容数=0,1,_xlpm.テスト内容数),
_xlpm.詳細項目数&amp;"-"&amp;_xlpm.観点数&amp;"-"&amp;_xlpm.テスト内容数（テスト内容が空の場合は1）
)</f>
        <v/>
      </c>
      <c r="B304" s="89" t="n"/>
      <c r="C304" s="90" t="n"/>
      <c r="D304" s="90" t="n"/>
      <c r="E304" s="95" t="n"/>
      <c r="F304" s="92" t="inlineStr">
        <is>
          <t>リクエストに想定外の項目（項目名とパラメータ値のセット）を加えて実行した結果が［システム機能設計書/共通コンポーネント設計書の記載通り］であること。</t>
        </is>
      </c>
      <c r="G304" s="92" t="n"/>
      <c r="H304" s="78" t="n"/>
      <c r="I304" s="78" t="n"/>
      <c r="J304" s="82" t="n"/>
      <c r="K304" s="84" t="n"/>
      <c r="L304" s="97" t="n"/>
      <c r="M304" s="85" t="n"/>
      <c r="N304" s="93" t="n"/>
      <c r="O304" s="93" t="n"/>
      <c r="P304" s="93" t="n"/>
      <c r="Q304" s="93" t="n"/>
      <c r="R304" s="94" t="n"/>
      <c r="S304" s="88" t="n"/>
      <c r="T304" s="88" t="n"/>
    </row>
    <row r="305" ht="22" customFormat="1" customHeight="1" s="88">
      <c r="A305" s="38">
        <f t="array" ref="A305">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_xlpm.テスト内容数（テスト内容が空の場合は1）, IF(_xlpm.テスト内容数=0,1,_xlpm.テスト内容数),
_xlpm.詳細項目数&amp;"-"&amp;_xlpm.観点数&amp;"-"&amp;_xlpm.テスト内容数（テスト内容が空の場合は1）
)</f>
        <v/>
      </c>
      <c r="B305" s="89" t="n"/>
      <c r="C305" s="98" t="n"/>
      <c r="D305" s="79" t="inlineStr">
        <is>
          <t>同時実行数の制限</t>
        </is>
      </c>
      <c r="E305" s="91" t="inlineStr">
        <is>
          <t>-</t>
        </is>
      </c>
      <c r="F305" s="92" t="inlineStr">
        <is>
          <t>リクエストの同時実行数を制御する設計となっている場合、処理が［方式設計書の記載通り］となっていること。</t>
        </is>
      </c>
      <c r="G305" s="81" t="n"/>
      <c r="H305" s="99" t="n"/>
      <c r="I305" s="99" t="n"/>
      <c r="J305" s="78" t="n"/>
      <c r="K305" s="84" t="n"/>
      <c r="L305" s="97" t="n"/>
      <c r="M305" s="85" t="n"/>
      <c r="N305" s="93" t="n"/>
      <c r="O305" s="93" t="n"/>
      <c r="P305" s="93" t="n"/>
      <c r="Q305" s="93" t="n"/>
      <c r="R305" s="94" t="n"/>
      <c r="S305" s="88" t="n"/>
      <c r="T305" s="88" t="n"/>
    </row>
    <row r="306" ht="44" customFormat="1" customHeight="1" s="88">
      <c r="A306" s="38">
        <f t="array" ref="A306">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_xlpm.テスト内容数（テスト内容が空の場合は1）, IF(_xlpm.テスト内容数=0,1,_xlpm.テスト内容数),
_xlpm.詳細項目数&amp;"-"&amp;_xlpm.観点数&amp;"-"&amp;_xlpm.テスト内容数（テスト内容が空の場合は1）
)</f>
        <v/>
      </c>
      <c r="B306" s="89" t="n"/>
      <c r="C306" s="90" t="n"/>
      <c r="D306" s="100" t="n"/>
      <c r="E306" s="101" t="inlineStr">
        <is>
          <t>APIレート制限</t>
        </is>
      </c>
      <c r="F306" s="92" t="inlineStr">
        <is>
          <t>HTTPの最大コネクション数やAPIキーなどで、同時接続数や呼び出し回数を制限する設計となっている場合、一定時間内に上限を超えるリクエストを受信した際のレスポンスが、APIレート制限エラーとなること。</t>
        </is>
      </c>
      <c r="G306" s="81" t="n"/>
      <c r="H306" s="78" t="n"/>
      <c r="I306" s="78" t="n"/>
      <c r="J306" s="99" t="n"/>
      <c r="K306" s="84" t="n"/>
      <c r="L306" s="97" t="n"/>
      <c r="M306" s="85" t="n"/>
      <c r="N306" s="93" t="n"/>
      <c r="O306" s="93" t="n"/>
      <c r="P306" s="93" t="n"/>
      <c r="Q306" s="93" t="n"/>
      <c r="R306" s="94" t="n"/>
      <c r="S306" s="88" t="n"/>
      <c r="T306" s="88" t="n"/>
    </row>
    <row r="307" ht="22" customFormat="1" customHeight="1" s="88">
      <c r="A307" s="38">
        <f t="array" ref="A307">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_xlpm.テスト内容数（テスト内容が空の場合は1）, IF(_xlpm.テスト内容数=0,1,_xlpm.テスト内容数),
_xlpm.詳細項目数&amp;"-"&amp;_xlpm.観点数&amp;"-"&amp;_xlpm.テスト内容数（テスト内容が空の場合は1）
)</f>
        <v/>
      </c>
      <c r="B307" s="89" t="n"/>
      <c r="C307" s="90" t="n"/>
      <c r="D307" s="90" t="inlineStr">
        <is>
          <t>エラー</t>
        </is>
      </c>
      <c r="E307" s="95" t="inlineStr">
        <is>
          <t>-</t>
        </is>
      </c>
      <c r="F307" s="92" t="inlineStr">
        <is>
          <t>エラーが発生した場合、実行結果が［システム機能設計書/共通コンポーネント設計書の記載通り］であること。</t>
        </is>
      </c>
      <c r="G307" s="92" t="n"/>
      <c r="H307" s="78" t="n"/>
      <c r="I307" s="78" t="n"/>
      <c r="J307" s="82" t="n"/>
      <c r="K307" s="84" t="n"/>
      <c r="L307" s="97" t="n"/>
      <c r="M307" s="85" t="n"/>
      <c r="N307" s="93" t="n"/>
      <c r="O307" s="93" t="n"/>
      <c r="P307" s="93" t="n"/>
      <c r="Q307" s="93" t="n"/>
      <c r="R307" s="94" t="n"/>
      <c r="S307" s="88" t="n"/>
      <c r="T307" s="88" t="n"/>
    </row>
    <row r="308" ht="33" customFormat="1" customHeight="1" s="88">
      <c r="A308" s="38">
        <f t="array" ref="A308">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_xlpm.テスト内容数（テスト内容が空の場合は1）, IF(_xlpm.テスト内容数=0,1,_xlpm.テスト内容数),
_xlpm.詳細項目数&amp;"-"&amp;_xlpm.観点数&amp;"-"&amp;_xlpm.テスト内容数（テスト内容が空の場合は1）
)</f>
        <v/>
      </c>
      <c r="B308" s="89" t="n"/>
      <c r="C308" s="90" t="n"/>
      <c r="D308" s="90" t="n"/>
      <c r="E308" s="95" t="n"/>
      <c r="F308" s="92" t="inlineStr">
        <is>
          <t>複数の単項目バリデーションを実施し、その結果をまとめて返却するウェブサービス機能に対し、エラーが複数件発生した場合、対象のエラーがすべて送出されること。</t>
        </is>
      </c>
      <c r="G308" s="81" t="n"/>
      <c r="H308" s="99" t="n"/>
      <c r="I308" s="99" t="n"/>
      <c r="J308" s="99" t="n"/>
      <c r="K308" s="82" t="n"/>
      <c r="L308" s="85" t="n"/>
      <c r="M308" s="85" t="n"/>
      <c r="N308" s="93" t="n"/>
      <c r="O308" s="93" t="n"/>
      <c r="P308" s="93" t="n"/>
      <c r="Q308" s="93" t="n"/>
      <c r="R308" s="94" t="n"/>
      <c r="S308" s="88" t="n"/>
      <c r="T308" s="88" t="n"/>
    </row>
    <row r="309" ht="44" customFormat="1" customHeight="1" s="88">
      <c r="A309" s="38">
        <f t="array" ref="A309">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_xlpm.テスト内容数（テスト内容が空の場合は1）, IF(_xlpm.テスト内容数=0,1,_xlpm.テスト内容数),
_xlpm.詳細項目数&amp;"-"&amp;_xlpm.観点数&amp;"-"&amp;_xlpm.テスト内容数（テスト内容が空の場合は1）
)</f>
        <v/>
      </c>
      <c r="B309" s="89" t="n"/>
      <c r="C309" s="89" t="n"/>
      <c r="D309" s="98" t="n"/>
      <c r="E309" s="90" t="n"/>
      <c r="F309" s="81" t="inlineStr">
        <is>
          <t>複数の単項目バリデーションを実施し、その結果をまとめて返却するウェブサービス機能に対し、エラーが複数件発生した場合、エラーメッセージのソート順が［システム機能設計書の記載通り］であること。</t>
        </is>
      </c>
      <c r="G309" s="81" t="n"/>
      <c r="H309" s="99" t="n"/>
      <c r="I309" s="99" t="n"/>
      <c r="J309" s="81" t="n"/>
      <c r="K309" s="81" t="n"/>
      <c r="L309" s="85" t="n"/>
      <c r="M309" s="102" t="n"/>
      <c r="N309" s="103" t="n"/>
      <c r="O309" s="103" t="n"/>
      <c r="P309" s="103" t="n"/>
      <c r="Q309" s="103" t="n"/>
      <c r="R309" s="104" t="n"/>
      <c r="S309" s="88" t="n"/>
      <c r="T309" s="88" t="n"/>
    </row>
    <row r="310" ht="33" customFormat="1" customHeight="1" s="88">
      <c r="A310" s="38">
        <f t="array" ref="A310">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_xlpm.テスト内容数（テスト内容が空の場合は1）, IF(_xlpm.テスト内容数=0,1,_xlpm.テスト内容数),
_xlpm.詳細項目数&amp;"-"&amp;_xlpm.観点数&amp;"-"&amp;_xlpm.テスト内容数（テスト内容が空の場合は1）
)</f>
        <v/>
      </c>
      <c r="B310" s="89" t="n"/>
      <c r="C310" s="89" t="n"/>
      <c r="D310" s="98" t="n"/>
      <c r="E310" s="90" t="n"/>
      <c r="F310" s="81" t="inlineStr">
        <is>
          <t>複数の相関バリデーションを実施し、その結果をまとめて返却するウェブサービス機能に対し、エラーが複数件発生した場合、対象のエラーがすべて送出されること。</t>
        </is>
      </c>
      <c r="G310" s="81" t="n"/>
      <c r="H310" s="99" t="n"/>
      <c r="I310" s="99" t="n"/>
      <c r="J310" s="99" t="n"/>
      <c r="K310" s="82" t="n"/>
      <c r="L310" s="105" t="n"/>
      <c r="M310" s="82" t="n"/>
      <c r="N310" s="103" t="n"/>
      <c r="O310" s="103" t="n"/>
      <c r="P310" s="103" t="n"/>
      <c r="Q310" s="103" t="n"/>
      <c r="R310" s="104" t="n"/>
      <c r="S310" s="88" t="n"/>
      <c r="T310" s="88" t="n"/>
    </row>
    <row r="311" ht="44" customFormat="1" customHeight="1" s="88">
      <c r="A311" s="38">
        <f t="array" ref="A31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_xlpm.テスト内容数（テスト内容が空の場合は1）, IF(_xlpm.テスト内容数=0,1,_xlpm.テスト内容数),
_xlpm.詳細項目数&amp;"-"&amp;_xlpm.観点数&amp;"-"&amp;_xlpm.テスト内容数（テスト内容が空の場合は1）
)</f>
        <v/>
      </c>
      <c r="B311" s="89" t="n"/>
      <c r="C311" s="89" t="n"/>
      <c r="D311" s="98" t="n"/>
      <c r="E311" s="90" t="n"/>
      <c r="F311" s="81" t="inlineStr">
        <is>
          <t>複数の相関バリデーションを実施し、その結果をまとめて返却するウェブサービス機能に対し、エラーが複数件発生した場合、エラーメッセージのソート順が［システム機能設計書の記載通り］であること。</t>
        </is>
      </c>
      <c r="G311" s="81" t="n"/>
      <c r="H311" s="78" t="n"/>
      <c r="I311" s="78" t="n"/>
      <c r="J311" s="99" t="n"/>
      <c r="K311" s="106" t="n"/>
      <c r="L311" s="85" t="n"/>
      <c r="M311" s="102" t="n"/>
      <c r="N311" s="103" t="n"/>
      <c r="O311" s="103" t="n"/>
      <c r="P311" s="103" t="n"/>
      <c r="Q311" s="103" t="n"/>
      <c r="R311" s="104" t="n"/>
      <c r="S311" s="88" t="n"/>
      <c r="T311" s="88" t="n"/>
    </row>
    <row r="312" ht="33" customFormat="1" customHeight="1" s="88">
      <c r="A312" s="38">
        <f t="array" ref="A312">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_xlpm.テスト内容数（テスト内容が空の場合は1）, IF(_xlpm.テスト内容数=0,1,_xlpm.テスト内容数),
_xlpm.詳細項目数&amp;"-"&amp;_xlpm.観点数&amp;"-"&amp;_xlpm.テスト内容数（テスト内容が空の場合は1）
)</f>
        <v/>
      </c>
      <c r="B312" s="89" t="n"/>
      <c r="C312" s="89" t="n"/>
      <c r="D312" s="98" t="n"/>
      <c r="E312" s="90" t="n"/>
      <c r="F312" s="81" t="inlineStr">
        <is>
          <t>DBとの相関バリデーションを複数実施し、その結果をまとめて返却するウェブサービス機能に対し、エラーが複数件発生した場合、対象のエラーがすべて送出されること。</t>
        </is>
      </c>
      <c r="G312" s="81" t="n"/>
      <c r="H312" s="78" t="n"/>
      <c r="I312" s="78" t="n"/>
      <c r="J312" s="107" t="n"/>
      <c r="K312" s="106" t="n"/>
      <c r="L312" s="108" t="n"/>
      <c r="M312" s="102" t="n"/>
      <c r="N312" s="103" t="n"/>
      <c r="O312" s="103" t="n"/>
      <c r="P312" s="103" t="n"/>
      <c r="Q312" s="103" t="n"/>
      <c r="R312" s="104" t="n"/>
      <c r="S312" s="88" t="n"/>
      <c r="T312" s="88" t="n"/>
    </row>
    <row r="313" ht="44" customFormat="1" customHeight="1" s="88">
      <c r="A313" s="38">
        <f t="array" ref="A313">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_xlpm.テスト内容数（テスト内容が空の場合は1）, IF(_xlpm.テスト内容数=0,1,_xlpm.テスト内容数),
_xlpm.詳細項目数&amp;"-"&amp;_xlpm.観点数&amp;"-"&amp;_xlpm.テスト内容数（テスト内容が空の場合は1）
)</f>
        <v/>
      </c>
      <c r="B313" s="89" t="n"/>
      <c r="C313" s="89" t="n"/>
      <c r="D313" s="98" t="n"/>
      <c r="E313" s="90" t="n"/>
      <c r="F313" s="81" t="inlineStr">
        <is>
          <t>DBとの相関バリデーションを複数実施し、その結果をまとめて返却するウェブサービス機能に対し、エラーが複数件発生した場合、エラーメッセージのソート順が［システム機能設計書の記載通り］であること。</t>
        </is>
      </c>
      <c r="G313" s="81" t="n"/>
      <c r="H313" s="78" t="n"/>
      <c r="I313" s="78" t="n"/>
      <c r="J313" s="107" t="n"/>
      <c r="K313" s="106" t="n"/>
      <c r="L313" s="108" t="n"/>
      <c r="M313" s="102" t="n"/>
      <c r="N313" s="103" t="n"/>
      <c r="O313" s="103" t="n"/>
      <c r="P313" s="103" t="n"/>
      <c r="Q313" s="103" t="n"/>
      <c r="R313" s="104" t="n"/>
      <c r="S313" s="88" t="n"/>
      <c r="T313" s="88" t="n"/>
    </row>
    <row r="314" ht="22" customFormat="1" customHeight="1" s="88">
      <c r="A314" s="38">
        <f t="array" ref="A314">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_xlpm.テスト内容数（テスト内容が空の場合は1）, IF(_xlpm.テスト内容数=0,1,_xlpm.テスト内容数),
_xlpm.詳細項目数&amp;"-"&amp;_xlpm.観点数&amp;"-"&amp;_xlpm.テスト内容数（テスト内容が空の場合は1）
)</f>
        <v/>
      </c>
      <c r="B314" s="109" t="n"/>
      <c r="C314" s="109" t="n"/>
      <c r="D314" s="110" t="n"/>
      <c r="E314" s="100" t="n"/>
      <c r="F314" s="111" t="inlineStr">
        <is>
          <t>タイムアウトした場合、［システム機能設計書/共通コンポーネント設計書の記載通りの挙動］となること。</t>
        </is>
      </c>
      <c r="G314" s="111" t="n"/>
      <c r="H314" s="99" t="n"/>
      <c r="I314" s="99" t="n"/>
      <c r="J314" s="99" t="n"/>
      <c r="K314" s="111" t="n"/>
      <c r="L314" s="105" t="n"/>
      <c r="M314" s="82" t="n"/>
      <c r="N314" s="112" t="n"/>
      <c r="O314" s="112" t="n"/>
      <c r="P314" s="112" t="n"/>
      <c r="Q314" s="112" t="n"/>
      <c r="R314" s="113" t="n"/>
      <c r="S314" s="88" t="n"/>
      <c r="T314" s="88" t="n"/>
    </row>
  </sheetData>
  <autoFilter ref="A10:R10"/>
  <mergeCells count="2">
    <mergeCell ref="B136:B137"/>
    <mergeCell ref="B116:B117"/>
  </mergeCells>
  <dataValidations count="1">
    <dataValidation sqref="P11:P41 P42:Q45 P46:P314" showDropDown="0" showInputMessage="1" showErrorMessage="1" allowBlank="1" type="list">
      <formula1>"OK,NG"</formula1>
    </dataValidation>
  </dataValidations>
  <printOptions horizontalCentered="1"/>
  <pageMargins left="0.3937007874015748" right="0.3937007874015748" top="0.3937007874015748" bottom="0.3937007874015748" header="0.1968503937007874" footer="0.1968503937007874"/>
  <pageSetup orientation="landscape" paperSize="9" scale="53" fitToHeight="0"/>
  <headerFooter alignWithMargins="0">
    <oddHeader/>
    <oddFooter>&amp;C&amp;"ＭＳ 明朝,標準"&amp;9 - &amp;P -</oddFooter>
    <evenHeader/>
    <evenFooter/>
    <firstHeader/>
    <firstFooter/>
  </headerFooter>
  <rowBreaks count="9" manualBreakCount="9">
    <brk id="45" min="0" max="17" man="1"/>
    <brk id="81" min="0" max="17" man="1"/>
    <brk id="114" min="0" max="17" man="1"/>
    <brk id="152" min="0" max="17" man="1"/>
    <brk id="186" min="0" max="17" man="1"/>
    <brk id="213" min="0" max="17" man="1"/>
    <brk id="246" min="0" max="17" man="1"/>
    <brk id="282" min="0" max="17" man="1"/>
    <brk id="299" min="0" max="17" man="1"/>
  </row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2018-09-27T02:35:07Z</dcterms:created>
  <dcterms:modified xsi:type="dcterms:W3CDTF">2026-10-06T07:03:39Z</dcterms:modified>
</cp:coreProperties>
</file>