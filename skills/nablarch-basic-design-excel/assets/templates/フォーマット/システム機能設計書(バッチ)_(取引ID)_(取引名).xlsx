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03.projects\other\spring-sample-project\.claude\skills\nablarch-basic-design-excel\assets\templates\フォーマット\"/>
    </mc:Choice>
  </mc:AlternateContent>
  <xr:revisionPtr revIDLastSave="0" documentId="13_ncr:1_{4D683BD5-C715-4D74-B950-28DE8824EA12}" xr6:coauthVersionLast="47" xr6:coauthVersionMax="47" xr10:uidLastSave="{00000000-0000-0000-0000-000000000000}"/>
  <bookViews>
    <workbookView xWindow="-120" yWindow="-120" windowWidth="29040" windowHeight="15720" tabRatio="822" xr2:uid="{00000000-000D-0000-FFFF-FFFF00000000}"/>
  </bookViews>
  <sheets>
    <sheet name="表紙" sheetId="1" r:id="rId1"/>
    <sheet name="変更履歴" sheetId="2" r:id="rId2"/>
    <sheet name="目次" sheetId="3" r:id="rId3"/>
    <sheet name="1.1. バッチ取引概要" sheetId="4" r:id="rId4"/>
    <sheet name="1.3. バッチ処理フロー" sheetId="5" r:id="rId5"/>
    <sheet name="2. バッチ処理ID(バッチ処理名)" sheetId="6" r:id="rId6"/>
    <sheet name="データ" sheetId="7" r:id="rId7"/>
  </sheets>
  <definedNames>
    <definedName name="_xlnm.Print_Area" localSheetId="3">'1.1. バッチ取引概要'!$A$1:$AI$60</definedName>
    <definedName name="_xlnm.Print_Area" localSheetId="4">'1.3. バッチ処理フロー'!$A$1:$AI$53</definedName>
    <definedName name="_xlnm.Print_Area" localSheetId="5">'2. バッチ処理ID(バッチ処理名)'!$A$1:$AI$126</definedName>
    <definedName name="_xlnm.Print_Area" localSheetId="6">データ!$A$1:$B$8</definedName>
    <definedName name="_xlnm.Print_Area" localSheetId="1">変更履歴!$A$1:$AI$34</definedName>
    <definedName name="_xlnm.Print_Area" localSheetId="2">目次!$A$1:$AI$37</definedName>
    <definedName name="_xlnm.Print_Titles" localSheetId="3">'1.1. バッチ取引概要'!$1:$4</definedName>
    <definedName name="_xlnm.Print_Titles" localSheetId="4">'1.3. バッチ処理フロー'!$1:$4</definedName>
    <definedName name="_xlnm.Print_Titles" localSheetId="5">'2. バッチ処理ID(バッチ処理名)'!$1:$4</definedName>
    <definedName name="_xlnm.Print_Titles" localSheetId="1">変更履歴!$1:$4</definedName>
    <definedName name="種別一覧">データ!$A$2:$A$7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2" l="1"/>
  <c r="AC2" i="2"/>
  <c r="AG1" i="2"/>
  <c r="AC1" i="2"/>
  <c r="E3" i="6"/>
  <c r="AG3" i="4"/>
  <c r="AG3" i="5"/>
  <c r="AG1" i="4"/>
  <c r="E3" i="3"/>
  <c r="E3" i="4"/>
  <c r="AC3" i="4"/>
  <c r="AG2" i="3"/>
  <c r="AC1" i="5"/>
  <c r="E2" i="3"/>
  <c r="AG1" i="6"/>
  <c r="S1" i="5"/>
  <c r="AC1" i="6"/>
  <c r="S1" i="6"/>
  <c r="AG1" i="5"/>
  <c r="I21" i="1"/>
  <c r="AC2" i="3"/>
  <c r="E1" i="6"/>
  <c r="J12" i="1"/>
  <c r="AC2" i="6"/>
  <c r="AC3" i="5"/>
  <c r="E2" i="6"/>
  <c r="AG2" i="4"/>
  <c r="J16" i="1"/>
  <c r="E2" i="5"/>
  <c r="AG2" i="5"/>
  <c r="AG3" i="3"/>
  <c r="AC1" i="3"/>
  <c r="AG2" i="6"/>
  <c r="AG3" i="6"/>
  <c r="E3" i="5"/>
  <c r="AC2" i="4"/>
  <c r="AG1" i="3"/>
  <c r="E1" i="4"/>
  <c r="S1" i="3"/>
  <c r="AC2" i="5"/>
  <c r="E1" i="3"/>
  <c r="AC1" i="4"/>
  <c r="E2" i="4"/>
  <c r="AC3" i="6"/>
  <c r="S1" i="4"/>
  <c r="E1" i="5"/>
  <c r="A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D30" authorId="0" shapeId="0" xr:uid="{00000000-0006-0000-0300-000001000000}">
      <text>
        <r>
          <rPr>
            <sz val="9"/>
            <rFont val="ＭＳ 明朝"/>
            <family val="1"/>
            <charset val="128"/>
          </rPr>
          <t>バッチ取引の起動条件があれば記述する。</t>
        </r>
      </text>
    </comment>
    <comment ref="D34" authorId="0" shapeId="0" xr:uid="{00000000-0006-0000-0300-000002000000}">
      <text>
        <r>
          <rPr>
            <sz val="9"/>
            <rFont val="ＭＳ 明朝"/>
            <family val="1"/>
            <charset val="128"/>
          </rPr>
          <t>設計の前提事項となることがあれば記述する。</t>
        </r>
      </text>
    </comment>
    <comment ref="Q46" authorId="0" shapeId="0" xr:uid="{00000000-0006-0000-0300-000003000000}">
      <text>
        <r>
          <rPr>
            <sz val="9"/>
            <rFont val="ＭＳ 明朝"/>
            <family val="1"/>
            <charset val="128"/>
          </rPr>
          <t>常駐バッチの場合は「○」を記入する。</t>
        </r>
      </text>
    </comment>
    <comment ref="S47" authorId="0" shapeId="0" xr:uid="{00000000-0006-0000-0300-000004000000}">
      <text>
        <r>
          <rPr>
            <sz val="9"/>
            <rFont val="ＭＳ 明朝"/>
            <family val="1"/>
            <charset val="128"/>
          </rPr>
          <t>マルチプロセスの多重化要否を以下のように記述する。
・「○」：必要な場合
・「-」：不要な場合</t>
        </r>
      </text>
    </comment>
    <comment ref="U47" authorId="0" shapeId="0" xr:uid="{00000000-0006-0000-0300-000005000000}">
      <text>
        <r>
          <rPr>
            <sz val="9"/>
            <rFont val="ＭＳ 明朝"/>
            <family val="1"/>
            <charset val="128"/>
          </rPr>
          <t>マルチスレッドの多重化要否を以下のように記述する。
・「○」：必要な場合
・「-」：不要な場合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D8" authorId="0" shapeId="0" xr:uid="{00000000-0006-0000-0500-000001000000}">
      <text>
        <r>
          <rPr>
            <sz val="9"/>
            <rFont val="ＭＳ 明朝"/>
            <family val="1"/>
            <charset val="128"/>
          </rPr>
          <t>処理の実施単位を記述する。</t>
        </r>
      </text>
    </comment>
    <comment ref="D9" authorId="0" shapeId="0" xr:uid="{00000000-0006-0000-0500-000002000000}">
      <text>
        <r>
          <rPr>
            <sz val="9"/>
            <rFont val="ＭＳ 明朝"/>
            <family val="1"/>
            <charset val="128"/>
          </rPr>
          <t>・入力データを処理する順番を記述する。
　例)ユーザ管理テーブル.ユーザIDの昇順
・処理順序のキーが複数ある場合は下記のように記述する。
　(優先順位の高いキーから順に左から並べる)
　例)契約テーブル.契約日の昇順＞契約テーブル.契約IDの昇順</t>
        </r>
      </text>
    </comment>
    <comment ref="D10" authorId="0" shapeId="0" xr:uid="{00000000-0006-0000-0500-000003000000}">
      <text>
        <r>
          <rPr>
            <sz val="9"/>
            <rFont val="ＭＳ 明朝"/>
            <family val="1"/>
            <charset val="128"/>
          </rPr>
          <t>リカバリ方法が複雑な場合は別紙に記述する。</t>
        </r>
      </text>
    </comment>
    <comment ref="F13" authorId="0" shapeId="0" xr:uid="{00000000-0006-0000-0500-000004000000}">
      <text>
        <r>
          <rPr>
            <sz val="9"/>
            <rFont val="ＭＳ 明朝"/>
            <family val="1"/>
            <charset val="128"/>
          </rPr>
          <t>起動時のパラメータ（シェルより引き渡される引数）を記述する。
システム共通の起動パラメータ以外に必要なパラメータがある場合に記述する。システム共通の起動パラメータの設定値については、方式設計書に記述し、システム機能設計書には記述しない。</t>
        </r>
      </text>
    </comment>
    <comment ref="K15" authorId="0" shapeId="0" xr:uid="{00000000-0006-0000-0500-000005000000}">
      <text>
        <r>
          <rPr>
            <sz val="9"/>
            <rFont val="ＭＳ 明朝"/>
            <family val="1"/>
            <charset val="128"/>
          </rPr>
          <t>以下を記述する。
必須：○
省略可：-
省略したときの動作は、説明欄に記述する。</t>
        </r>
      </text>
    </comment>
    <comment ref="L15" authorId="0" shapeId="0" xr:uid="{00000000-0006-0000-0500-000006000000}">
      <text>
        <r>
          <rPr>
            <sz val="9"/>
            <rFont val="ＭＳ 明朝"/>
            <family val="1"/>
            <charset val="128"/>
          </rPr>
          <t>設定可能な値を記述する。
&lt;具体的な値がある場合&gt;
[具体的な値]:[値の意味]
例) 0:指定なし、1:指定あり
&lt;具体的な値がない場合&gt;
[設定値名]([書式])
例) 請求日(yyyyMMdd)</t>
        </r>
      </text>
    </comment>
    <comment ref="Q15" authorId="0" shapeId="0" xr:uid="{00000000-0006-0000-0500-000007000000}">
      <text>
        <r>
          <rPr>
            <sz val="9"/>
            <rFont val="ＭＳ 明朝"/>
            <family val="1"/>
            <charset val="128"/>
          </rPr>
          <t>起動パラメータが必須でない場合は、パラメータを指定しなかった場合の動作も記述する。</t>
        </r>
      </text>
    </comment>
    <comment ref="F29" authorId="0" shapeId="0" xr:uid="{00000000-0006-0000-0500-000008000000}">
      <text>
        <r>
          <rPr>
            <sz val="9"/>
            <rFont val="ＭＳ 明朝"/>
            <family val="1"/>
            <charset val="128"/>
          </rPr>
          <t>・当バッチ処理で作成/参照/更新/削除を行う全てのテーブル/ファイル/電文/帳票/メールを記述する。
・バリデーションのために参照するテーブルも記述する。
・当バッチ処理で呼び出す共通コンポーネントが使用するテーブル/ファイル/電文/帳票/メールについては記述しない。</t>
        </r>
      </text>
    </comment>
    <comment ref="G38" authorId="0" shapeId="0" xr:uid="{00000000-0006-0000-0500-000009000000}">
      <text>
        <r>
          <rPr>
            <sz val="9"/>
            <rFont val="ＭＳ 明朝"/>
            <family val="1"/>
            <charset val="128"/>
          </rPr>
          <t>バリデーションのために取得、参照するデータは記述しない。</t>
        </r>
      </text>
    </comment>
    <comment ref="E47" authorId="0" shapeId="0" xr:uid="{00000000-0006-0000-0500-00000A000000}">
      <text>
        <r>
          <rPr>
            <sz val="9"/>
            <rFont val="ＭＳ 明朝"/>
            <family val="1"/>
            <charset val="128"/>
          </rPr>
          <t>ファイルを全件読み込む場合等、特に無い場合は「-」と記述する。</t>
        </r>
      </text>
    </comment>
    <comment ref="M53" authorId="0" shapeId="0" xr:uid="{00000000-0006-0000-0500-00000B000000}">
      <text>
        <r>
          <rPr>
            <sz val="9"/>
            <rFont val="ＭＳ 明朝"/>
            <family val="1"/>
            <charset val="128"/>
          </rPr>
          <t xml:space="preserve">入力対象が定義されている設計書への参照を記載。
</t>
        </r>
      </text>
    </comment>
    <comment ref="E56" authorId="0" shapeId="0" xr:uid="{00000000-0006-0000-0500-00000C000000}">
      <text>
        <r>
          <rPr>
            <sz val="9"/>
            <rFont val="ＭＳ 明朝"/>
            <family val="1"/>
            <charset val="128"/>
          </rPr>
          <t>ファイルID/メールID/電文IDのいずれかを記載。</t>
        </r>
      </text>
    </comment>
    <comment ref="M56" authorId="0" shapeId="0" xr:uid="{00000000-0006-0000-0500-00000D000000}">
      <text>
        <r>
          <rPr>
            <sz val="9"/>
            <rFont val="ＭＳ 明朝"/>
            <family val="1"/>
            <charset val="128"/>
          </rPr>
          <t>ファイル名/メール名/電文名のいずれかを記載。</t>
        </r>
      </text>
    </comment>
    <comment ref="E59" authorId="0" shapeId="0" xr:uid="{00000000-0006-0000-0500-00000E000000}">
      <text>
        <r>
          <rPr>
            <sz val="9"/>
            <rFont val="ＭＳ 明朝"/>
            <family val="1"/>
            <charset val="128"/>
          </rPr>
          <t>処理は目的(入力、各種業務処理、出力等)に分割して記載すること。
例）
(1) ○○バリデーション
(2) ○○取得
(3) ○○集計
(4) ○○登録</t>
        </r>
      </text>
    </comment>
    <comment ref="F115" authorId="0" shapeId="0" xr:uid="{00000000-0006-0000-0500-00000F000000}">
      <text>
        <r>
          <rPr>
            <sz val="9"/>
            <rFont val="ＭＳ 明朝"/>
            <family val="1"/>
            <charset val="128"/>
          </rPr>
          <t>ファイルID/メールID/電文IDのいずれかを記載。</t>
        </r>
      </text>
    </comment>
    <comment ref="N115" authorId="0" shapeId="0" xr:uid="{00000000-0006-0000-0500-000010000000}">
      <text>
        <r>
          <rPr>
            <sz val="9"/>
            <rFont val="ＭＳ 明朝"/>
            <family val="1"/>
            <charset val="128"/>
          </rPr>
          <t>ファイル名/メール名/電文名のいずれかを記載。</t>
        </r>
      </text>
    </comment>
  </commentList>
</comments>
</file>

<file path=xl/sharedStrings.xml><?xml version="1.0" encoding="utf-8"?>
<sst xmlns="http://schemas.openxmlformats.org/spreadsheetml/2006/main" count="158" uniqueCount="95">
  <si>
    <t>システム機能設計書(バッチ)</t>
  </si>
  <si>
    <t>第１．０版</t>
  </si>
  <si>
    <t>[会社名]</t>
  </si>
  <si>
    <t>[部門名]</t>
  </si>
  <si>
    <t>PJ名</t>
  </si>
  <si>
    <t>成果物名</t>
  </si>
  <si>
    <t>作成</t>
  </si>
  <si>
    <t>システム名</t>
  </si>
  <si>
    <t>変更</t>
  </si>
  <si>
    <t>サブシステム名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</si>
  <si>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</si>
  <si>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</si>
  <si>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</si>
  <si>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</si>
  <si>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</si>
  <si>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</si>
  <si>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</si>
  <si>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</si>
  <si>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目次</t>
  </si>
  <si>
    <t>1. バッチ取引定義</t>
  </si>
  <si>
    <t>1.1. バッチ取引概要</t>
  </si>
  <si>
    <t>1.2. バッチ処理一覧</t>
  </si>
  <si>
    <t>1.3. バッチ処理フロー</t>
  </si>
  <si>
    <t>2. [バッチ処理ID]([バッチ処理名]）</t>
  </si>
  <si>
    <t>2.1. 処理概要</t>
  </si>
  <si>
    <t>2.2. 起動パラメータ</t>
  </si>
  <si>
    <t>2.3. 処理結果一覧</t>
  </si>
  <si>
    <t>2.4. 入出力一覧</t>
  </si>
  <si>
    <t>2.5. 入力データ定義</t>
  </si>
  <si>
    <t>2.6. 処理詳細</t>
  </si>
  <si>
    <t>2.7. 出力データ定義</t>
  </si>
  <si>
    <t>取引ID</t>
  </si>
  <si>
    <t>取引名</t>
  </si>
  <si>
    <t>取引概要</t>
  </si>
  <si>
    <t>起動条件</t>
  </si>
  <si>
    <t>前提事項</t>
  </si>
  <si>
    <t>バッチ処理ID</t>
  </si>
  <si>
    <t>処理名</t>
  </si>
  <si>
    <t>常駐</t>
  </si>
  <si>
    <t>多重化要否</t>
  </si>
  <si>
    <t>処理概要</t>
  </si>
  <si>
    <t>プロセス</t>
  </si>
  <si>
    <t>スレッド</t>
  </si>
  <si>
    <t>2. [バッチ処理ID]([バッチ処理名])</t>
  </si>
  <si>
    <t>処理単位</t>
  </si>
  <si>
    <t>処理順序</t>
  </si>
  <si>
    <t>リカバリ方法</t>
  </si>
  <si>
    <t>パラメータ名</t>
  </si>
  <si>
    <t>必須</t>
  </si>
  <si>
    <t>パラメータ値</t>
  </si>
  <si>
    <t>説明</t>
  </si>
  <si>
    <t>パラメータ名(物理)</t>
  </si>
  <si>
    <t>終了コード</t>
  </si>
  <si>
    <t>障害コード</t>
  </si>
  <si>
    <t>処理結果</t>
  </si>
  <si>
    <t>入出力名</t>
  </si>
  <si>
    <t>種別</t>
  </si>
  <si>
    <t>I/O</t>
  </si>
  <si>
    <t>DBアクセス種別</t>
  </si>
  <si>
    <t>備考</t>
  </si>
  <si>
    <t>C</t>
  </si>
  <si>
    <t>R</t>
  </si>
  <si>
    <t>U</t>
  </si>
  <si>
    <t>D</t>
  </si>
  <si>
    <t>ﾛｯｸ対象</t>
  </si>
  <si>
    <t>2.5.1. [入力対象（テーブル名）]</t>
  </si>
  <si>
    <t>取得項目</t>
  </si>
  <si>
    <t>取得元</t>
  </si>
  <si>
    <t>ドメイン情報</t>
  </si>
  <si>
    <t>ドメイン名</t>
  </si>
  <si>
    <t>取得条件</t>
  </si>
  <si>
    <t>2.5.2. [入力対象（ファイル名/メール名/電文名）]</t>
  </si>
  <si>
    <t xml:space="preserve">【外部インタフェース定義書_XXX】を参照。
</t>
  </si>
  <si>
    <t>ファイルID</t>
  </si>
  <si>
    <t>ファイル名</t>
  </si>
  <si>
    <t>(1) [処理名称]</t>
  </si>
  <si>
    <t>2.7.1. [処理名(登録)]：[処理対象（テーブル名）]</t>
  </si>
  <si>
    <t>項目名</t>
  </si>
  <si>
    <t>編集元</t>
  </si>
  <si>
    <t>編集仕様</t>
  </si>
  <si>
    <t>ファイル/テーブル名</t>
  </si>
  <si>
    <t>2.7.2. [処理名(更新/削除)]：[処理対象（テーブル名）]</t>
  </si>
  <si>
    <t>更新条件</t>
  </si>
  <si>
    <t>2.7.3. [処理名(出力)]：[処理対象（ファイル名/メール名/電文名）]</t>
  </si>
  <si>
    <t>(1) 項目定義</t>
  </si>
  <si>
    <t>(2) 編集仕様</t>
  </si>
  <si>
    <t>項目ID</t>
  </si>
  <si>
    <t>ファイル/電文/テーブル</t>
  </si>
  <si>
    <t xml:space="preserve"> 種別一覧</t>
  </si>
  <si>
    <t>-</t>
  </si>
  <si>
    <t>テーブル</t>
  </si>
  <si>
    <t>電文</t>
  </si>
  <si>
    <t>I/Fファイル</t>
  </si>
  <si>
    <t>帳票</t>
  </si>
  <si>
    <t>電子メール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</si>
</sst>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第&quot;0.00&quot;版&quot;"/>
    <numFmt numFmtId="177" formatCode="yyyy/mm/dd"/>
  </numFmts>
  <fonts count="23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808080"/>
      <name val="ＭＳ 明朝"/>
      <family val="1"/>
      <charset val="128"/>
    </font>
    <font>
      <b/>
      <sz val="18"/>
      <name val="ＭＳ 明朝"/>
      <family val="1"/>
      <charset val="128"/>
    </font>
    <font>
      <sz val="9"/>
      <color rgb="FF808080"/>
      <name val="ＭＳ 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2" fillId="0" borderId="0">
      <alignment vertical="top"/>
      <protection locked="0"/>
    </xf>
    <xf numFmtId="0" fontId="13" fillId="0" borderId="0"/>
    <xf numFmtId="0" fontId="13" fillId="0" borderId="0"/>
    <xf numFmtId="0" fontId="13" fillId="0" borderId="0"/>
    <xf numFmtId="0" fontId="14" fillId="0" borderId="0"/>
    <xf numFmtId="9" fontId="13" fillId="0" borderId="0"/>
    <xf numFmtId="0" fontId="13" fillId="0" borderId="0"/>
    <xf numFmtId="0" fontId="19" fillId="0" borderId="0"/>
    <xf numFmtId="0" fontId="10" fillId="0" borderId="0"/>
  </cellStyleXfs>
  <cellXfs count="17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" fillId="0" borderId="0" xfId="2" applyFont="1"/>
    <xf numFmtId="0" fontId="1" fillId="0" borderId="0" xfId="2" applyFont="1" applyAlignment="1">
      <alignment horizontal="right"/>
    </xf>
    <xf numFmtId="31" fontId="7" fillId="0" borderId="0" xfId="0" applyNumberFormat="1" applyFont="1"/>
    <xf numFmtId="0" fontId="8" fillId="0" borderId="0" xfId="2" applyFont="1"/>
    <xf numFmtId="0" fontId="13" fillId="0" borderId="0" xfId="0" applyFo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center"/>
    </xf>
    <xf numFmtId="0" fontId="13" fillId="0" borderId="0" xfId="2" applyAlignment="1">
      <alignment vertical="top"/>
    </xf>
    <xf numFmtId="0" fontId="13" fillId="0" borderId="0" xfId="2" applyAlignment="1">
      <alignment horizontal="left" vertical="center"/>
    </xf>
    <xf numFmtId="0" fontId="1" fillId="0" borderId="17" xfId="0" applyFont="1" applyBorder="1" applyAlignment="1">
      <alignment horizontal="center" vertical="center"/>
    </xf>
    <xf numFmtId="0" fontId="3" fillId="0" borderId="0" xfId="4" applyFont="1"/>
    <xf numFmtId="0" fontId="12" fillId="0" borderId="0" xfId="4" applyFont="1" applyAlignment="1">
      <alignment horizontal="center"/>
    </xf>
    <xf numFmtId="0" fontId="9" fillId="0" borderId="0" xfId="5" applyFont="1" applyAlignment="1">
      <alignment horizontal="center"/>
    </xf>
    <xf numFmtId="0" fontId="9" fillId="0" borderId="0" xfId="4" applyFont="1" applyAlignment="1">
      <alignment horizontal="center"/>
    </xf>
    <xf numFmtId="0" fontId="1" fillId="0" borderId="0" xfId="2" applyFont="1" applyAlignment="1">
      <alignment horizontal="center" vertical="center"/>
    </xf>
    <xf numFmtId="0" fontId="1" fillId="0" borderId="0" xfId="2" quotePrefix="1" applyFont="1" applyAlignment="1">
      <alignment vertical="center"/>
    </xf>
    <xf numFmtId="0" fontId="1" fillId="0" borderId="0" xfId="2" applyFon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/>
    <xf numFmtId="0" fontId="1" fillId="3" borderId="10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left" vertical="top" wrapText="1"/>
    </xf>
    <xf numFmtId="0" fontId="0" fillId="0" borderId="13" xfId="0" applyBorder="1" applyAlignment="1">
      <alignment vertical="top"/>
    </xf>
    <xf numFmtId="0" fontId="1" fillId="0" borderId="13" xfId="0" applyFont="1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/>
    <xf numFmtId="0" fontId="1" fillId="0" borderId="0" xfId="0" quotePrefix="1" applyFont="1"/>
    <xf numFmtId="0" fontId="15" fillId="0" borderId="0" xfId="0" applyFont="1"/>
    <xf numFmtId="0" fontId="1" fillId="0" borderId="0" xfId="1" applyFont="1" applyAlignment="1" applyProtection="1"/>
    <xf numFmtId="0" fontId="1" fillId="0" borderId="0" xfId="0" quotePrefix="1" applyFont="1" applyAlignment="1">
      <alignment horizontal="right"/>
    </xf>
    <xf numFmtId="0" fontId="16" fillId="0" borderId="0" xfId="0" applyFont="1"/>
    <xf numFmtId="0" fontId="17" fillId="0" borderId="0" xfId="0" applyFont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8" fillId="0" borderId="0" xfId="0" quotePrefix="1" applyFont="1" applyAlignment="1">
      <alignment horizontal="right"/>
    </xf>
    <xf numFmtId="0" fontId="17" fillId="0" borderId="0" xfId="0" applyFont="1" applyAlignment="1">
      <alignment horizontal="left"/>
    </xf>
    <xf numFmtId="0" fontId="1" fillId="0" borderId="0" xfId="1" applyFont="1" applyAlignment="1" applyProtection="1">
      <alignment horizontal="left"/>
    </xf>
    <xf numFmtId="0" fontId="16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1" fillId="0" borderId="0" xfId="1" applyFont="1" applyAlignment="1" applyProtection="1">
      <alignment horizontal="left" vertical="center"/>
    </xf>
    <xf numFmtId="0" fontId="18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 vertical="center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4" borderId="10" xfId="0" applyFill="1" applyBorder="1"/>
    <xf numFmtId="0" fontId="0" fillId="5" borderId="10" xfId="0" applyFill="1" applyBorder="1"/>
    <xf numFmtId="0" fontId="0" fillId="0" borderId="10" xfId="0" applyBorder="1"/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4" xfId="0" applyFont="1" applyBorder="1" applyAlignment="1">
      <alignment vertical="top"/>
    </xf>
    <xf numFmtId="0" fontId="1" fillId="0" borderId="0" xfId="0" applyFont="1" applyAlignment="1">
      <alignment horizontal="right" vertical="top"/>
    </xf>
    <xf numFmtId="49" fontId="1" fillId="0" borderId="0" xfId="0" applyNumberFormat="1" applyFont="1" applyAlignment="1">
      <alignment horizontal="left" vertical="top"/>
    </xf>
    <xf numFmtId="0" fontId="1" fillId="0" borderId="1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left" vertical="top" wrapText="1"/>
    </xf>
    <xf numFmtId="0" fontId="15" fillId="0" borderId="10" xfId="0" applyFont="1" applyBorder="1" applyAlignment="1">
      <alignment horizontal="right" vertical="top"/>
    </xf>
    <xf numFmtId="0" fontId="1" fillId="0" borderId="12" xfId="0" applyFont="1" applyBorder="1" applyAlignment="1">
      <alignment horizontal="right" vertical="top"/>
    </xf>
    <xf numFmtId="0" fontId="1" fillId="0" borderId="10" xfId="0" applyFont="1" applyBorder="1" applyAlignment="1">
      <alignment horizontal="right" vertical="top"/>
    </xf>
    <xf numFmtId="0" fontId="1" fillId="0" borderId="0" xfId="0" applyFont="1" applyAlignment="1">
      <alignment horizontal="right"/>
    </xf>
    <xf numFmtId="31" fontId="8" fillId="0" borderId="0" xfId="4" quotePrefix="1" applyNumberFormat="1" applyFont="1" applyAlignment="1">
      <alignment horizontal="center" vertical="center"/>
    </xf>
    <xf numFmtId="0" fontId="0" fillId="2" borderId="2" xfId="0" applyFill="1" applyBorder="1" applyAlignment="1">
      <alignment vertical="top"/>
    </xf>
    <xf numFmtId="0" fontId="0" fillId="5" borderId="1" xfId="0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5" borderId="3" xfId="0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0" fillId="0" borderId="0" xfId="0" applyFont="1"/>
    <xf numFmtId="0" fontId="0" fillId="0" borderId="4" xfId="0" applyBorder="1"/>
    <xf numFmtId="0" fontId="22" fillId="0" borderId="0" xfId="0" applyFont="1"/>
    <xf numFmtId="0" fontId="13" fillId="0" borderId="0" xfId="2" quotePrefix="1"/>
    <xf numFmtId="0" fontId="3" fillId="0" borderId="0" xfId="0" applyFont="1"/>
    <xf numFmtId="0" fontId="1" fillId="0" borderId="10" xfId="0" applyFont="1" applyBorder="1" applyAlignment="1">
      <alignment horizontal="center" vertical="top"/>
    </xf>
    <xf numFmtId="0" fontId="0" fillId="0" borderId="5" xfId="0" applyBorder="1"/>
    <xf numFmtId="0" fontId="0" fillId="0" borderId="6" xfId="0" applyBorder="1"/>
    <xf numFmtId="0" fontId="0" fillId="0" borderId="13" xfId="0" applyBorder="1"/>
    <xf numFmtId="0" fontId="1" fillId="0" borderId="0" xfId="2" applyFont="1" applyAlignment="1">
      <alignment vertical="top"/>
    </xf>
    <xf numFmtId="0" fontId="0" fillId="0" borderId="1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2" borderId="10" xfId="0" applyFont="1" applyFill="1" applyBorder="1" applyAlignment="1">
      <alignment horizontal="left" vertical="top"/>
    </xf>
    <xf numFmtId="0" fontId="1" fillId="0" borderId="0" xfId="0" applyFont="1"/>
    <xf numFmtId="0" fontId="1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right" vertical="top" wrapText="1"/>
    </xf>
    <xf numFmtId="0" fontId="1" fillId="0" borderId="0" xfId="0" applyFont="1" applyAlignment="1">
      <alignment vertical="center"/>
    </xf>
    <xf numFmtId="0" fontId="0" fillId="2" borderId="10" xfId="0" applyFill="1" applyBorder="1" applyAlignment="1">
      <alignment vertical="top"/>
    </xf>
    <xf numFmtId="0" fontId="1" fillId="0" borderId="0" xfId="0" applyFont="1" applyAlignment="1">
      <alignment vertical="center" wrapText="1"/>
    </xf>
    <xf numFmtId="176" fontId="21" fillId="0" borderId="0" xfId="0" applyNumberFormat="1" applyFont="1" applyAlignment="1">
      <alignment horizontal="center"/>
    </xf>
    <xf numFmtId="176" fontId="8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14" fontId="8" fillId="0" borderId="0" xfId="0" applyNumberFormat="1" applyFont="1" applyAlignment="1">
      <alignment horizontal="center" vertical="center"/>
    </xf>
    <xf numFmtId="14" fontId="3" fillId="0" borderId="0" xfId="0" applyNumberFormat="1" applyFont="1"/>
    <xf numFmtId="0" fontId="1" fillId="0" borderId="10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" fillId="0" borderId="10" xfId="0" applyFont="1" applyBorder="1" applyAlignment="1">
      <alignment horizontal="left" vertical="top"/>
    </xf>
    <xf numFmtId="0" fontId="1" fillId="2" borderId="10" xfId="2" applyFont="1" applyFill="1" applyBorder="1" applyAlignment="1">
      <alignment vertical="top"/>
    </xf>
    <xf numFmtId="0" fontId="1" fillId="0" borderId="10" xfId="0" applyFont="1" applyBorder="1" applyAlignment="1">
      <alignment horizontal="center" vertical="top"/>
    </xf>
    <xf numFmtId="0" fontId="1" fillId="0" borderId="19" xfId="0" applyFont="1" applyBorder="1" applyAlignment="1">
      <alignment horizontal="left" vertical="top"/>
    </xf>
    <xf numFmtId="0" fontId="0" fillId="0" borderId="16" xfId="0" applyBorder="1"/>
    <xf numFmtId="0" fontId="0" fillId="0" borderId="15" xfId="0" applyBorder="1"/>
    <xf numFmtId="0" fontId="1" fillId="0" borderId="10" xfId="3" applyFont="1" applyBorder="1" applyAlignment="1">
      <alignment horizontal="left" vertical="top"/>
    </xf>
    <xf numFmtId="14" fontId="1" fillId="0" borderId="10" xfId="0" applyNumberFormat="1" applyFont="1" applyBorder="1" applyAlignment="1">
      <alignment horizontal="center" vertical="top"/>
    </xf>
    <xf numFmtId="0" fontId="1" fillId="2" borderId="10" xfId="2" applyFont="1" applyFill="1" applyBorder="1"/>
    <xf numFmtId="0" fontId="1" fillId="4" borderId="10" xfId="2" applyFont="1" applyFill="1" applyBorder="1" applyAlignment="1">
      <alignment vertical="top"/>
    </xf>
    <xf numFmtId="14" fontId="1" fillId="0" borderId="10" xfId="2" applyNumberFormat="1" applyFont="1" applyBorder="1" applyAlignment="1">
      <alignment horizontal="left" vertical="top"/>
    </xf>
    <xf numFmtId="0" fontId="1" fillId="0" borderId="11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177" fontId="1" fillId="0" borderId="10" xfId="4" applyNumberFormat="1" applyFont="1" applyBorder="1" applyAlignment="1">
      <alignment horizontal="right"/>
    </xf>
    <xf numFmtId="0" fontId="1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1" fillId="0" borderId="10" xfId="2" applyFont="1" applyBorder="1" applyAlignment="1">
      <alignment horizontal="left" vertical="top"/>
    </xf>
    <xf numFmtId="14" fontId="1" fillId="0" borderId="19" xfId="0" quotePrefix="1" applyNumberFormat="1" applyFont="1" applyBorder="1" applyAlignment="1">
      <alignment horizontal="center" vertical="top"/>
    </xf>
    <xf numFmtId="0" fontId="15" fillId="2" borderId="10" xfId="2" applyFont="1" applyFill="1" applyBorder="1" applyAlignment="1">
      <alignment vertical="top"/>
    </xf>
    <xf numFmtId="0" fontId="0" fillId="0" borderId="13" xfId="0" applyBorder="1"/>
    <xf numFmtId="0" fontId="1" fillId="0" borderId="0" xfId="2" applyFont="1" applyAlignment="1">
      <alignment vertical="top"/>
    </xf>
    <xf numFmtId="0" fontId="0" fillId="0" borderId="1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9" xfId="0" applyFont="1" applyBorder="1" applyAlignment="1">
      <alignment horizontal="left" vertical="top" wrapText="1"/>
    </xf>
    <xf numFmtId="0" fontId="0" fillId="0" borderId="10" xfId="2" applyFont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1" fillId="0" borderId="10" xfId="2" applyFont="1" applyBorder="1" applyAlignment="1">
      <alignment horizontal="left" vertical="top" wrapText="1"/>
    </xf>
    <xf numFmtId="0" fontId="1" fillId="0" borderId="10" xfId="0" applyFont="1" applyBorder="1" applyAlignment="1">
      <alignment horizontal="center" vertical="center"/>
    </xf>
    <xf numFmtId="0" fontId="1" fillId="0" borderId="10" xfId="1" applyFont="1" applyBorder="1" applyAlignment="1" applyProtection="1">
      <alignment horizontal="left" vertical="top" wrapText="1"/>
    </xf>
    <xf numFmtId="0" fontId="1" fillId="0" borderId="0" xfId="0" applyFont="1"/>
    <xf numFmtId="0" fontId="0" fillId="2" borderId="10" xfId="0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right" vertical="top" wrapText="1"/>
    </xf>
    <xf numFmtId="0" fontId="0" fillId="0" borderId="18" xfId="0" applyBorder="1"/>
    <xf numFmtId="0" fontId="0" fillId="0" borderId="12" xfId="0" applyBorder="1"/>
    <xf numFmtId="0" fontId="1" fillId="2" borderId="10" xfId="0" applyFont="1" applyFill="1" applyBorder="1" applyAlignment="1">
      <alignment horizontal="left" vertical="top"/>
    </xf>
    <xf numFmtId="0" fontId="0" fillId="3" borderId="10" xfId="0" applyFill="1" applyBorder="1" applyAlignment="1">
      <alignment horizontal="left" vertical="top"/>
    </xf>
    <xf numFmtId="0" fontId="1" fillId="4" borderId="10" xfId="0" applyFont="1" applyFill="1" applyBorder="1" applyAlignment="1">
      <alignment horizontal="left" vertical="top"/>
    </xf>
    <xf numFmtId="0" fontId="0" fillId="2" borderId="10" xfId="0" applyFill="1" applyBorder="1" applyAlignment="1">
      <alignment horizontal="left" vertical="top" wrapText="1"/>
    </xf>
    <xf numFmtId="49" fontId="1" fillId="0" borderId="10" xfId="0" applyNumberFormat="1" applyFont="1" applyBorder="1" applyAlignment="1">
      <alignment horizontal="left" vertical="top" wrapText="1"/>
    </xf>
    <xf numFmtId="0" fontId="1" fillId="2" borderId="12" xfId="0" applyFont="1" applyFill="1" applyBorder="1" applyAlignment="1">
      <alignment horizontal="left" vertical="top"/>
    </xf>
    <xf numFmtId="0" fontId="1" fillId="0" borderId="0" xfId="0" applyFont="1" applyAlignment="1">
      <alignment vertical="center" wrapText="1"/>
    </xf>
    <xf numFmtId="0" fontId="15" fillId="0" borderId="10" xfId="0" applyFont="1" applyBorder="1" applyAlignment="1">
      <alignment horizontal="left" vertical="top" wrapText="1"/>
    </xf>
    <xf numFmtId="0" fontId="0" fillId="3" borderId="10" xfId="0" applyFill="1" applyBorder="1" applyAlignment="1">
      <alignment horizontal="center" vertical="top"/>
    </xf>
    <xf numFmtId="0" fontId="1" fillId="2" borderId="10" xfId="0" applyFont="1" applyFill="1" applyBorder="1" applyAlignment="1">
      <alignment vertical="top"/>
    </xf>
    <xf numFmtId="0" fontId="15" fillId="4" borderId="10" xfId="0" applyFont="1" applyFill="1" applyBorder="1" applyAlignment="1">
      <alignment horizontal="left" vertical="top"/>
    </xf>
    <xf numFmtId="49" fontId="0" fillId="0" borderId="1" xfId="0" applyNumberFormat="1" applyBorder="1" applyAlignment="1">
      <alignment horizontal="left"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4" borderId="10" xfId="0" applyFill="1" applyBorder="1" applyAlignment="1">
      <alignment horizontal="left" vertical="center"/>
    </xf>
    <xf numFmtId="0" fontId="0" fillId="0" borderId="10" xfId="0" applyBorder="1" applyAlignment="1">
      <alignment horizontal="left" vertical="top" wrapText="1"/>
    </xf>
    <xf numFmtId="0" fontId="1" fillId="3" borderId="10" xfId="0" applyFont="1" applyFill="1" applyBorder="1" applyAlignment="1">
      <alignment horizontal="left" vertical="top"/>
    </xf>
    <xf numFmtId="0" fontId="0" fillId="0" borderId="10" xfId="0" applyBorder="1" applyAlignment="1">
      <alignment horizontal="center" vertical="center"/>
    </xf>
    <xf numFmtId="0" fontId="0" fillId="3" borderId="10" xfId="0" applyFill="1" applyBorder="1" applyAlignment="1">
      <alignment vertical="top"/>
    </xf>
    <xf numFmtId="0" fontId="15" fillId="0" borderId="10" xfId="0" applyFont="1" applyBorder="1" applyAlignment="1">
      <alignment horizontal="left" vertical="top"/>
    </xf>
    <xf numFmtId="0" fontId="0" fillId="2" borderId="12" xfId="0" applyFill="1" applyBorder="1" applyAlignment="1">
      <alignment horizontal="left" vertical="top"/>
    </xf>
    <xf numFmtId="0" fontId="0" fillId="3" borderId="12" xfId="0" applyFill="1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0" fillId="3" borderId="10" xfId="0" applyFill="1" applyBorder="1" applyAlignment="1">
      <alignment vertical="top" wrapText="1"/>
    </xf>
  </cellXfs>
  <cellStyles count="10">
    <cellStyle name="パーセント 2" xfId="6" xr:uid="{00000000-0005-0000-0000-000006000000}"/>
    <cellStyle name="ハイパーリンク" xfId="1" builtinId="8"/>
    <cellStyle name="標準" xfId="0" builtinId="0"/>
    <cellStyle name="標準 10" xfId="7" xr:uid="{00000000-0005-0000-0000-000007000000}"/>
    <cellStyle name="標準 2" xfId="4" xr:uid="{00000000-0005-0000-0000-000004000000}"/>
    <cellStyle name="標準 2 13" xfId="8" xr:uid="{00000000-0005-0000-0000-000008000000}"/>
    <cellStyle name="標準 2 3" xfId="9" xr:uid="{00000000-0005-0000-0000-000009000000}"/>
    <cellStyle name="標準_~6362950" xfId="5" xr:uid="{00000000-0005-0000-0000-000005000000}"/>
    <cellStyle name="標準_画面標準" xfId="2" xr:uid="{00000000-0005-0000-0000-000002000000}"/>
    <cellStyle name="標準_画面標準定義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409575</xdr:colOff>
      <xdr:row>1</xdr:row>
      <xdr:rowOff>114300</xdr:rowOff>
    </xdr:from>
    <xdr:to>
      <xdr:col>18</xdr:col>
      <xdr:colOff>295275</xdr:colOff>
      <xdr:row>4</xdr:row>
      <xdr:rowOff>114300</xdr:rowOff>
    </xdr:to>
    <xdr:grpSp>
      <xdr:nvGrpSpPr>
        <xdr:cNvPr id="11281" name="Group 17">
          <a:extLst>
            <a:ext uri="{FF2B5EF4-FFF2-40B4-BE49-F238E27FC236}">
              <a16:creationId xmlns:a16="http://schemas.microsoft.com/office/drawing/2014/main" id="{00000000-0008-0000-0000-0000112C0000}"/>
            </a:ext>
          </a:extLst>
        </xdr:cNvPr>
        <xdr:cNvGrpSpPr>
          <a:grpSpLocks/>
        </xdr:cNvGrpSpPr>
      </xdr:nvGrpSpPr>
      <xdr:grpSpPr bwMode="auto">
        <a:xfrm>
          <a:off x="7981950" y="285750"/>
          <a:ext cx="1400175" cy="590550"/>
          <a:chOff x="591" y="61"/>
          <a:chExt cx="147" cy="62"/>
        </a:xfrm>
      </xdr:grpSpPr>
      <xdr:sp macro="" textlink="">
        <xdr:nvSpPr>
          <xdr:cNvPr id="11276" name="Text Box 12">
            <a:extLst>
              <a:ext uri="{FF2B5EF4-FFF2-40B4-BE49-F238E27FC236}">
                <a16:creationId xmlns:a16="http://schemas.microsoft.com/office/drawing/2014/main" id="{00000000-0008-0000-0000-00000C2C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11277" name="Text Box 13">
            <a:extLst>
              <a:ext uri="{FF2B5EF4-FFF2-40B4-BE49-F238E27FC236}">
                <a16:creationId xmlns:a16="http://schemas.microsoft.com/office/drawing/2014/main" id="{00000000-0008-0000-0000-00000D2C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en-US" altLang="ja-JP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</a:t>
            </a: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133350</xdr:colOff>
      <xdr:row>38</xdr:row>
      <xdr:rowOff>76200</xdr:rowOff>
    </xdr:from>
    <xdr:to>
      <xdr:col>55</xdr:col>
      <xdr:colOff>266700</xdr:colOff>
      <xdr:row>52</xdr:row>
      <xdr:rowOff>28575</xdr:rowOff>
    </xdr:to>
    <xdr:sp macro="" textlink="">
      <xdr:nvSpPr>
        <xdr:cNvPr id="19546" name="Rectangle 90">
          <a:extLst>
            <a:ext uri="{FF2B5EF4-FFF2-40B4-BE49-F238E27FC236}">
              <a16:creationId xmlns:a16="http://schemas.microsoft.com/office/drawing/2014/main" id="{00000000-0008-0000-0400-00005A4C0000}"/>
            </a:ext>
          </a:extLst>
        </xdr:cNvPr>
        <xdr:cNvSpPr>
          <a:spLocks noChangeArrowheads="1"/>
        </xdr:cNvSpPr>
      </xdr:nvSpPr>
      <xdr:spPr bwMode="auto">
        <a:xfrm>
          <a:off x="9801225" y="5562600"/>
          <a:ext cx="5657850" cy="19526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凡　　例</a:t>
          </a:r>
        </a:p>
      </xdr:txBody>
    </xdr:sp>
    <xdr:clientData/>
  </xdr:twoCellAnchor>
  <xdr:twoCellAnchor>
    <xdr:from>
      <xdr:col>42</xdr:col>
      <xdr:colOff>190500</xdr:colOff>
      <xdr:row>42</xdr:row>
      <xdr:rowOff>38100</xdr:rowOff>
    </xdr:from>
    <xdr:to>
      <xdr:col>45</xdr:col>
      <xdr:colOff>9525</xdr:colOff>
      <xdr:row>46</xdr:row>
      <xdr:rowOff>3313</xdr:rowOff>
    </xdr:to>
    <xdr:sp macro="" textlink="">
      <xdr:nvSpPr>
        <xdr:cNvPr id="19547" name="AutoShape 91">
          <a:extLst>
            <a:ext uri="{FF2B5EF4-FFF2-40B4-BE49-F238E27FC236}">
              <a16:creationId xmlns:a16="http://schemas.microsoft.com/office/drawing/2014/main" id="{00000000-0008-0000-0400-00005B4C0000}"/>
            </a:ext>
          </a:extLst>
        </xdr:cNvPr>
        <xdr:cNvSpPr>
          <a:spLocks noChangeArrowheads="1"/>
        </xdr:cNvSpPr>
      </xdr:nvSpPr>
      <xdr:spPr bwMode="auto">
        <a:xfrm>
          <a:off x="11791950" y="6096000"/>
          <a:ext cx="647700" cy="536713"/>
        </a:xfrm>
        <a:prstGeom prst="can">
          <a:avLst>
            <a:gd name="adj" fmla="val 25000"/>
          </a:avLst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論理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テーブル名</a:t>
          </a:r>
        </a:p>
      </xdr:txBody>
    </xdr:sp>
    <xdr:clientData/>
  </xdr:twoCellAnchor>
  <xdr:twoCellAnchor>
    <xdr:from>
      <xdr:col>45</xdr:col>
      <xdr:colOff>171450</xdr:colOff>
      <xdr:row>43</xdr:row>
      <xdr:rowOff>66675</xdr:rowOff>
    </xdr:from>
    <xdr:to>
      <xdr:col>47</xdr:col>
      <xdr:colOff>209550</xdr:colOff>
      <xdr:row>44</xdr:row>
      <xdr:rowOff>104775</xdr:rowOff>
    </xdr:to>
    <xdr:sp macro="" textlink="">
      <xdr:nvSpPr>
        <xdr:cNvPr id="19548" name="Text Box 92">
          <a:extLst>
            <a:ext uri="{FF2B5EF4-FFF2-40B4-BE49-F238E27FC236}">
              <a16:creationId xmlns:a16="http://schemas.microsoft.com/office/drawing/2014/main" id="{00000000-0008-0000-0400-00005C4C0000}"/>
            </a:ext>
          </a:extLst>
        </xdr:cNvPr>
        <xdr:cNvSpPr txBox="1">
          <a:spLocks noChangeArrowheads="1"/>
        </xdr:cNvSpPr>
      </xdr:nvSpPr>
      <xdr:spPr bwMode="auto">
        <a:xfrm>
          <a:off x="12601575" y="6267450"/>
          <a:ext cx="590550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テーブル</a:t>
          </a:r>
        </a:p>
      </xdr:txBody>
    </xdr:sp>
    <xdr:clientData/>
  </xdr:twoCellAnchor>
  <xdr:twoCellAnchor>
    <xdr:from>
      <xdr:col>42</xdr:col>
      <xdr:colOff>190500</xdr:colOff>
      <xdr:row>46</xdr:row>
      <xdr:rowOff>47624</xdr:rowOff>
    </xdr:from>
    <xdr:to>
      <xdr:col>45</xdr:col>
      <xdr:colOff>28575</xdr:colOff>
      <xdr:row>49</xdr:row>
      <xdr:rowOff>28161</xdr:rowOff>
    </xdr:to>
    <xdr:sp macro="" textlink="">
      <xdr:nvSpPr>
        <xdr:cNvPr id="19549" name="AutoShape 93">
          <a:extLst>
            <a:ext uri="{FF2B5EF4-FFF2-40B4-BE49-F238E27FC236}">
              <a16:creationId xmlns:a16="http://schemas.microsoft.com/office/drawing/2014/main" id="{00000000-0008-0000-0400-00005D4C0000}"/>
            </a:ext>
          </a:extLst>
        </xdr:cNvPr>
        <xdr:cNvSpPr>
          <a:spLocks noChangeArrowheads="1"/>
        </xdr:cNvSpPr>
      </xdr:nvSpPr>
      <xdr:spPr bwMode="auto">
        <a:xfrm>
          <a:off x="11791950" y="6677024"/>
          <a:ext cx="666750" cy="40916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ID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名称</a:t>
          </a:r>
        </a:p>
      </xdr:txBody>
    </xdr:sp>
    <xdr:clientData/>
  </xdr:twoCellAnchor>
  <xdr:oneCellAnchor>
    <xdr:from>
      <xdr:col>45</xdr:col>
      <xdr:colOff>171450</xdr:colOff>
      <xdr:row>47</xdr:row>
      <xdr:rowOff>573</xdr:rowOff>
    </xdr:from>
    <xdr:ext cx="223651" cy="170303"/>
    <xdr:sp macro="" textlink="">
      <xdr:nvSpPr>
        <xdr:cNvPr id="19550" name="Text Box 94">
          <a:extLst>
            <a:ext uri="{FF2B5EF4-FFF2-40B4-BE49-F238E27FC236}">
              <a16:creationId xmlns:a16="http://schemas.microsoft.com/office/drawing/2014/main" id="{00000000-0008-0000-0400-00005E4C0000}"/>
            </a:ext>
          </a:extLst>
        </xdr:cNvPr>
        <xdr:cNvSpPr txBox="1">
          <a:spLocks noChangeArrowheads="1"/>
        </xdr:cNvSpPr>
      </xdr:nvSpPr>
      <xdr:spPr bwMode="auto">
        <a:xfrm>
          <a:off x="12601575" y="6772848"/>
          <a:ext cx="223651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帳票</a:t>
          </a:r>
        </a:p>
      </xdr:txBody>
    </xdr:sp>
    <xdr:clientData/>
  </xdr:oneCellAnchor>
  <xdr:oneCellAnchor>
    <xdr:from>
      <xdr:col>45</xdr:col>
      <xdr:colOff>171450</xdr:colOff>
      <xdr:row>40</xdr:row>
      <xdr:rowOff>38673</xdr:rowOff>
    </xdr:from>
    <xdr:ext cx="531428" cy="170303"/>
    <xdr:sp macro="" textlink="">
      <xdr:nvSpPr>
        <xdr:cNvPr id="19555" name="Text Box 99">
          <a:extLst>
            <a:ext uri="{FF2B5EF4-FFF2-40B4-BE49-F238E27FC236}">
              <a16:creationId xmlns:a16="http://schemas.microsoft.com/office/drawing/2014/main" id="{00000000-0008-0000-0400-0000634C0000}"/>
            </a:ext>
          </a:extLst>
        </xdr:cNvPr>
        <xdr:cNvSpPr txBox="1">
          <a:spLocks noChangeArrowheads="1"/>
        </xdr:cNvSpPr>
      </xdr:nvSpPr>
      <xdr:spPr bwMode="auto">
        <a:xfrm>
          <a:off x="12601575" y="5810823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バッチ処理</a:t>
          </a:r>
        </a:p>
      </xdr:txBody>
    </xdr:sp>
    <xdr:clientData/>
  </xdr:oneCellAnchor>
  <xdr:twoCellAnchor>
    <xdr:from>
      <xdr:col>48</xdr:col>
      <xdr:colOff>266700</xdr:colOff>
      <xdr:row>43</xdr:row>
      <xdr:rowOff>57150</xdr:rowOff>
    </xdr:from>
    <xdr:to>
      <xdr:col>51</xdr:col>
      <xdr:colOff>190500</xdr:colOff>
      <xdr:row>45</xdr:row>
      <xdr:rowOff>85725</xdr:rowOff>
    </xdr:to>
    <xdr:sp macro="" textlink="">
      <xdr:nvSpPr>
        <xdr:cNvPr id="19556" name="AutoShape 100">
          <a:extLst>
            <a:ext uri="{FF2B5EF4-FFF2-40B4-BE49-F238E27FC236}">
              <a16:creationId xmlns:a16="http://schemas.microsoft.com/office/drawing/2014/main" id="{00000000-0008-0000-0400-0000644C0000}"/>
            </a:ext>
          </a:extLst>
        </xdr:cNvPr>
        <xdr:cNvSpPr>
          <a:spLocks noChangeArrowheads="1"/>
        </xdr:cNvSpPr>
      </xdr:nvSpPr>
      <xdr:spPr bwMode="auto">
        <a:xfrm>
          <a:off x="13525500" y="6257925"/>
          <a:ext cx="752475" cy="31432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条件</a:t>
          </a:r>
        </a:p>
      </xdr:txBody>
    </xdr:sp>
    <xdr:clientData/>
  </xdr:twoCellAnchor>
  <xdr:oneCellAnchor>
    <xdr:from>
      <xdr:col>52</xdr:col>
      <xdr:colOff>66675</xdr:colOff>
      <xdr:row>43</xdr:row>
      <xdr:rowOff>124398</xdr:rowOff>
    </xdr:from>
    <xdr:ext cx="428835" cy="170303"/>
    <xdr:sp macro="" textlink="">
      <xdr:nvSpPr>
        <xdr:cNvPr id="19557" name="Text Box 101">
          <a:extLst>
            <a:ext uri="{FF2B5EF4-FFF2-40B4-BE49-F238E27FC236}">
              <a16:creationId xmlns:a16="http://schemas.microsoft.com/office/drawing/2014/main" id="{00000000-0008-0000-0400-0000654C0000}"/>
            </a:ext>
          </a:extLst>
        </xdr:cNvPr>
        <xdr:cNvSpPr txBox="1">
          <a:spLocks noChangeArrowheads="1"/>
        </xdr:cNvSpPr>
      </xdr:nvSpPr>
      <xdr:spPr bwMode="auto">
        <a:xfrm>
          <a:off x="14430375" y="6325173"/>
          <a:ext cx="428835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条件分岐</a:t>
          </a:r>
        </a:p>
      </xdr:txBody>
    </xdr:sp>
    <xdr:clientData/>
  </xdr:oneCellAnchor>
  <xdr:twoCellAnchor>
    <xdr:from>
      <xdr:col>36</xdr:col>
      <xdr:colOff>104775</xdr:colOff>
      <xdr:row>39</xdr:row>
      <xdr:rowOff>47625</xdr:rowOff>
    </xdr:from>
    <xdr:to>
      <xdr:col>37</xdr:col>
      <xdr:colOff>152400</xdr:colOff>
      <xdr:row>41</xdr:row>
      <xdr:rowOff>57150</xdr:rowOff>
    </xdr:to>
    <xdr:sp macro="" textlink="">
      <xdr:nvSpPr>
        <xdr:cNvPr id="19558" name="AutoShape 102">
          <a:extLst>
            <a:ext uri="{FF2B5EF4-FFF2-40B4-BE49-F238E27FC236}">
              <a16:creationId xmlns:a16="http://schemas.microsoft.com/office/drawing/2014/main" id="{00000000-0008-0000-0400-0000664C0000}"/>
            </a:ext>
          </a:extLst>
        </xdr:cNvPr>
        <xdr:cNvSpPr>
          <a:spLocks noChangeArrowheads="1"/>
        </xdr:cNvSpPr>
      </xdr:nvSpPr>
      <xdr:spPr bwMode="auto">
        <a:xfrm>
          <a:off x="10048875" y="5676900"/>
          <a:ext cx="323850" cy="295275"/>
        </a:xfrm>
        <a:prstGeom prst="flowChartConnector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38</xdr:col>
      <xdr:colOff>247650</xdr:colOff>
      <xdr:row>39</xdr:row>
      <xdr:rowOff>104775</xdr:rowOff>
    </xdr:from>
    <xdr:ext cx="326243" cy="151836"/>
    <xdr:sp macro="" textlink="">
      <xdr:nvSpPr>
        <xdr:cNvPr id="19559" name="Text Box 103">
          <a:extLst>
            <a:ext uri="{FF2B5EF4-FFF2-40B4-BE49-F238E27FC236}">
              <a16:creationId xmlns:a16="http://schemas.microsoft.com/office/drawing/2014/main" id="{00000000-0008-0000-0400-0000674C0000}"/>
            </a:ext>
          </a:extLst>
        </xdr:cNvPr>
        <xdr:cNvSpPr txBox="1">
          <a:spLocks noChangeArrowheads="1"/>
        </xdr:cNvSpPr>
      </xdr:nvSpPr>
      <xdr:spPr bwMode="auto">
        <a:xfrm>
          <a:off x="10744200" y="5734050"/>
          <a:ext cx="326243" cy="1518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結合子</a:t>
          </a:r>
        </a:p>
      </xdr:txBody>
    </xdr:sp>
    <xdr:clientData/>
  </xdr:oneCellAnchor>
  <xdr:oneCellAnchor>
    <xdr:from>
      <xdr:col>36</xdr:col>
      <xdr:colOff>76200</xdr:colOff>
      <xdr:row>39</xdr:row>
      <xdr:rowOff>114300</xdr:rowOff>
    </xdr:from>
    <xdr:ext cx="326243" cy="151836"/>
    <xdr:sp macro="" textlink="">
      <xdr:nvSpPr>
        <xdr:cNvPr id="19560" name="Text Box 104">
          <a:extLst>
            <a:ext uri="{FF2B5EF4-FFF2-40B4-BE49-F238E27FC236}">
              <a16:creationId xmlns:a16="http://schemas.microsoft.com/office/drawing/2014/main" id="{00000000-0008-0000-0400-0000684C0000}"/>
            </a:ext>
          </a:extLst>
        </xdr:cNvPr>
        <xdr:cNvSpPr txBox="1">
          <a:spLocks noChangeArrowheads="1"/>
        </xdr:cNvSpPr>
      </xdr:nvSpPr>
      <xdr:spPr bwMode="auto">
        <a:xfrm>
          <a:off x="10020300" y="5743575"/>
          <a:ext cx="326243" cy="1518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識別子</a:t>
          </a:r>
        </a:p>
      </xdr:txBody>
    </xdr:sp>
    <xdr:clientData/>
  </xdr:oneCellAnchor>
  <xdr:twoCellAnchor>
    <xdr:from>
      <xdr:col>42</xdr:col>
      <xdr:colOff>219075</xdr:colOff>
      <xdr:row>49</xdr:row>
      <xdr:rowOff>54666</xdr:rowOff>
    </xdr:from>
    <xdr:to>
      <xdr:col>45</xdr:col>
      <xdr:colOff>0</xdr:colOff>
      <xdr:row>51</xdr:row>
      <xdr:rowOff>102291</xdr:rowOff>
    </xdr:to>
    <xdr:grpSp>
      <xdr:nvGrpSpPr>
        <xdr:cNvPr id="19596" name="Group 140">
          <a:extLst>
            <a:ext uri="{FF2B5EF4-FFF2-40B4-BE49-F238E27FC236}">
              <a16:creationId xmlns:a16="http://schemas.microsoft.com/office/drawing/2014/main" id="{00000000-0008-0000-0400-00008C4C0000}"/>
            </a:ext>
          </a:extLst>
        </xdr:cNvPr>
        <xdr:cNvGrpSpPr>
          <a:grpSpLocks/>
        </xdr:cNvGrpSpPr>
      </xdr:nvGrpSpPr>
      <xdr:grpSpPr bwMode="auto">
        <a:xfrm>
          <a:off x="11820525" y="7112691"/>
          <a:ext cx="609600" cy="333375"/>
          <a:chOff x="454" y="733"/>
          <a:chExt cx="64" cy="39"/>
        </a:xfrm>
      </xdr:grpSpPr>
      <xdr:sp macro="" textlink="">
        <xdr:nvSpPr>
          <xdr:cNvPr id="19561" name="Rectangle 105">
            <a:extLst>
              <a:ext uri="{FF2B5EF4-FFF2-40B4-BE49-F238E27FC236}">
                <a16:creationId xmlns:a16="http://schemas.microsoft.com/office/drawing/2014/main" id="{00000000-0008-0000-0400-0000694C0000}"/>
              </a:ext>
            </a:extLst>
          </xdr:cNvPr>
          <xdr:cNvSpPr>
            <a:spLocks noChangeArrowheads="1"/>
          </xdr:cNvSpPr>
        </xdr:nvSpPr>
        <xdr:spPr bwMode="auto">
          <a:xfrm>
            <a:off x="454" y="733"/>
            <a:ext cx="64" cy="39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en-US" altLang="ja-JP" sz="8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ID</a:t>
            </a:r>
          </a:p>
          <a:p>
            <a:pPr algn="ctr" rtl="0">
              <a:defRPr sz="1000"/>
            </a:pPr>
            <a:r>
              <a:rPr lang="ja-JP" altLang="en-US" sz="8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名称</a:t>
            </a:r>
          </a:p>
        </xdr:txBody>
      </xdr:sp>
      <xdr:sp macro="" textlink="">
        <xdr:nvSpPr>
          <xdr:cNvPr id="19562" name="Freeform 106">
            <a:extLst>
              <a:ext uri="{FF2B5EF4-FFF2-40B4-BE49-F238E27FC236}">
                <a16:creationId xmlns:a16="http://schemas.microsoft.com/office/drawing/2014/main" id="{00000000-0008-0000-0400-00006A4C0000}"/>
              </a:ext>
            </a:extLst>
          </xdr:cNvPr>
          <xdr:cNvSpPr>
            <a:spLocks/>
          </xdr:cNvSpPr>
        </xdr:nvSpPr>
        <xdr:spPr bwMode="auto">
          <a:xfrm>
            <a:off x="456" y="733"/>
            <a:ext cx="62" cy="24"/>
          </a:xfrm>
          <a:custGeom>
            <a:avLst/>
            <a:gdLst/>
            <a:ahLst/>
            <a:cxnLst>
              <a:cxn ang="0">
                <a:pos x="0" y="2"/>
              </a:cxn>
              <a:cxn ang="0">
                <a:pos x="40" y="29"/>
              </a:cxn>
              <a:cxn ang="0">
                <a:pos x="82" y="0"/>
              </a:cxn>
            </a:cxnLst>
            <a:rect l="0" t="0" r="r" b="b"/>
            <a:pathLst>
              <a:path w="82" h="29">
                <a:moveTo>
                  <a:pt x="0" y="2"/>
                </a:moveTo>
                <a:lnTo>
                  <a:pt x="40" y="29"/>
                </a:lnTo>
                <a:lnTo>
                  <a:pt x="82" y="0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</xdr:spPr>
      </xdr:sp>
    </xdr:grpSp>
    <xdr:clientData/>
  </xdr:twoCellAnchor>
  <xdr:oneCellAnchor>
    <xdr:from>
      <xdr:col>45</xdr:col>
      <xdr:colOff>171450</xdr:colOff>
      <xdr:row>49</xdr:row>
      <xdr:rowOff>114873</xdr:rowOff>
    </xdr:from>
    <xdr:ext cx="531428" cy="170303"/>
    <xdr:sp macro="" textlink="">
      <xdr:nvSpPr>
        <xdr:cNvPr id="19563" name="Text Box 107">
          <a:extLst>
            <a:ext uri="{FF2B5EF4-FFF2-40B4-BE49-F238E27FC236}">
              <a16:creationId xmlns:a16="http://schemas.microsoft.com/office/drawing/2014/main" id="{00000000-0008-0000-0400-00006B4C0000}"/>
            </a:ext>
          </a:extLst>
        </xdr:cNvPr>
        <xdr:cNvSpPr txBox="1">
          <a:spLocks noChangeArrowheads="1"/>
        </xdr:cNvSpPr>
      </xdr:nvSpPr>
      <xdr:spPr bwMode="auto">
        <a:xfrm>
          <a:off x="12601575" y="7172898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電子メール</a:t>
          </a:r>
        </a:p>
      </xdr:txBody>
    </xdr:sp>
    <xdr:clientData/>
  </xdr:oneCellAnchor>
  <xdr:twoCellAnchor>
    <xdr:from>
      <xdr:col>36</xdr:col>
      <xdr:colOff>85725</xdr:colOff>
      <xdr:row>48</xdr:row>
      <xdr:rowOff>104775</xdr:rowOff>
    </xdr:from>
    <xdr:to>
      <xdr:col>37</xdr:col>
      <xdr:colOff>180975</xdr:colOff>
      <xdr:row>48</xdr:row>
      <xdr:rowOff>104775</xdr:rowOff>
    </xdr:to>
    <xdr:sp macro="" textlink="">
      <xdr:nvSpPr>
        <xdr:cNvPr id="19564" name="Line 108">
          <a:extLst>
            <a:ext uri="{FF2B5EF4-FFF2-40B4-BE49-F238E27FC236}">
              <a16:creationId xmlns:a16="http://schemas.microsoft.com/office/drawing/2014/main" id="{00000000-0008-0000-0400-00006C4C0000}"/>
            </a:ext>
          </a:extLst>
        </xdr:cNvPr>
        <xdr:cNvSpPr>
          <a:spLocks noChangeShapeType="1"/>
        </xdr:cNvSpPr>
      </xdr:nvSpPr>
      <xdr:spPr bwMode="auto">
        <a:xfrm>
          <a:off x="10029825" y="7019925"/>
          <a:ext cx="3714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38</xdr:col>
      <xdr:colOff>247650</xdr:colOff>
      <xdr:row>48</xdr:row>
      <xdr:rowOff>19623</xdr:rowOff>
    </xdr:from>
    <xdr:ext cx="531428" cy="170303"/>
    <xdr:sp macro="" textlink="">
      <xdr:nvSpPr>
        <xdr:cNvPr id="19565" name="Text Box 109">
          <a:extLst>
            <a:ext uri="{FF2B5EF4-FFF2-40B4-BE49-F238E27FC236}">
              <a16:creationId xmlns:a16="http://schemas.microsoft.com/office/drawing/2014/main" id="{00000000-0008-0000-0400-00006D4C0000}"/>
            </a:ext>
          </a:extLst>
        </xdr:cNvPr>
        <xdr:cNvSpPr txBox="1">
          <a:spLocks noChangeArrowheads="1"/>
        </xdr:cNvSpPr>
      </xdr:nvSpPr>
      <xdr:spPr bwMode="auto">
        <a:xfrm>
          <a:off x="10744200" y="6934773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処理の流れ</a:t>
          </a:r>
        </a:p>
      </xdr:txBody>
    </xdr:sp>
    <xdr:clientData/>
  </xdr:oneCellAnchor>
  <xdr:twoCellAnchor>
    <xdr:from>
      <xdr:col>36</xdr:col>
      <xdr:colOff>95250</xdr:colOff>
      <xdr:row>50</xdr:row>
      <xdr:rowOff>123825</xdr:rowOff>
    </xdr:from>
    <xdr:to>
      <xdr:col>37</xdr:col>
      <xdr:colOff>161925</xdr:colOff>
      <xdr:row>50</xdr:row>
      <xdr:rowOff>123825</xdr:rowOff>
    </xdr:to>
    <xdr:sp macro="" textlink="">
      <xdr:nvSpPr>
        <xdr:cNvPr id="19566" name="Line 110">
          <a:extLst>
            <a:ext uri="{FF2B5EF4-FFF2-40B4-BE49-F238E27FC236}">
              <a16:creationId xmlns:a16="http://schemas.microsoft.com/office/drawing/2014/main" id="{00000000-0008-0000-0400-00006E4C0000}"/>
            </a:ext>
          </a:extLst>
        </xdr:cNvPr>
        <xdr:cNvSpPr>
          <a:spLocks noChangeShapeType="1"/>
        </xdr:cNvSpPr>
      </xdr:nvSpPr>
      <xdr:spPr bwMode="auto">
        <a:xfrm>
          <a:off x="10039350" y="7324725"/>
          <a:ext cx="342900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arrow" w="med" len="med"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38</xdr:col>
      <xdr:colOff>247650</xdr:colOff>
      <xdr:row>50</xdr:row>
      <xdr:rowOff>38673</xdr:rowOff>
    </xdr:from>
    <xdr:ext cx="326243" cy="170303"/>
    <xdr:sp macro="" textlink="">
      <xdr:nvSpPr>
        <xdr:cNvPr id="19567" name="Text Box 111">
          <a:extLst>
            <a:ext uri="{FF2B5EF4-FFF2-40B4-BE49-F238E27FC236}">
              <a16:creationId xmlns:a16="http://schemas.microsoft.com/office/drawing/2014/main" id="{00000000-0008-0000-0400-00006F4C0000}"/>
            </a:ext>
          </a:extLst>
        </xdr:cNvPr>
        <xdr:cNvSpPr txBox="1">
          <a:spLocks noChangeArrowheads="1"/>
        </xdr:cNvSpPr>
      </xdr:nvSpPr>
      <xdr:spPr bwMode="auto">
        <a:xfrm>
          <a:off x="10744200" y="7239573"/>
          <a:ext cx="326243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IN/OUT</a:t>
          </a:r>
        </a:p>
      </xdr:txBody>
    </xdr:sp>
    <xdr:clientData/>
  </xdr:oneCellAnchor>
  <xdr:twoCellAnchor>
    <xdr:from>
      <xdr:col>49</xdr:col>
      <xdr:colOff>28575</xdr:colOff>
      <xdr:row>46</xdr:row>
      <xdr:rowOff>57150</xdr:rowOff>
    </xdr:from>
    <xdr:to>
      <xdr:col>51</xdr:col>
      <xdr:colOff>161925</xdr:colOff>
      <xdr:row>48</xdr:row>
      <xdr:rowOff>114300</xdr:rowOff>
    </xdr:to>
    <xdr:grpSp>
      <xdr:nvGrpSpPr>
        <xdr:cNvPr id="19568" name="Group 112">
          <a:extLst>
            <a:ext uri="{FF2B5EF4-FFF2-40B4-BE49-F238E27FC236}">
              <a16:creationId xmlns:a16="http://schemas.microsoft.com/office/drawing/2014/main" id="{00000000-0008-0000-0400-0000704C0000}"/>
            </a:ext>
          </a:extLst>
        </xdr:cNvPr>
        <xdr:cNvGrpSpPr>
          <a:grpSpLocks/>
        </xdr:cNvGrpSpPr>
      </xdr:nvGrpSpPr>
      <xdr:grpSpPr bwMode="auto">
        <a:xfrm>
          <a:off x="13563600" y="6686550"/>
          <a:ext cx="685800" cy="342900"/>
          <a:chOff x="537" y="600"/>
          <a:chExt cx="72" cy="36"/>
        </a:xfrm>
      </xdr:grpSpPr>
      <xdr:sp macro="" textlink="">
        <xdr:nvSpPr>
          <xdr:cNvPr id="19569" name="Line 113">
            <a:extLst>
              <a:ext uri="{FF2B5EF4-FFF2-40B4-BE49-F238E27FC236}">
                <a16:creationId xmlns:a16="http://schemas.microsoft.com/office/drawing/2014/main" id="{00000000-0008-0000-0400-0000714C0000}"/>
              </a:ext>
            </a:extLst>
          </xdr:cNvPr>
          <xdr:cNvSpPr>
            <a:spLocks noChangeShapeType="1"/>
          </xdr:cNvSpPr>
        </xdr:nvSpPr>
        <xdr:spPr bwMode="auto">
          <a:xfrm>
            <a:off x="537" y="615"/>
            <a:ext cx="72" cy="0"/>
          </a:xfrm>
          <a:prstGeom prst="line">
            <a:avLst/>
          </a:prstGeom>
          <a:noFill/>
          <a:ln w="3810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9570" name="Line 114">
            <a:extLst>
              <a:ext uri="{FF2B5EF4-FFF2-40B4-BE49-F238E27FC236}">
                <a16:creationId xmlns:a16="http://schemas.microsoft.com/office/drawing/2014/main" id="{00000000-0008-0000-0400-0000724C0000}"/>
              </a:ext>
            </a:extLst>
          </xdr:cNvPr>
          <xdr:cNvSpPr>
            <a:spLocks noChangeShapeType="1"/>
          </xdr:cNvSpPr>
        </xdr:nvSpPr>
        <xdr:spPr bwMode="auto">
          <a:xfrm>
            <a:off x="573" y="600"/>
            <a:ext cx="1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19571" name="Line 115">
            <a:extLst>
              <a:ext uri="{FF2B5EF4-FFF2-40B4-BE49-F238E27FC236}">
                <a16:creationId xmlns:a16="http://schemas.microsoft.com/office/drawing/2014/main" id="{00000000-0008-0000-0400-0000734C0000}"/>
              </a:ext>
            </a:extLst>
          </xdr:cNvPr>
          <xdr:cNvSpPr>
            <a:spLocks noChangeShapeType="1"/>
          </xdr:cNvSpPr>
        </xdr:nvSpPr>
        <xdr:spPr bwMode="auto">
          <a:xfrm>
            <a:off x="549" y="617"/>
            <a:ext cx="0" cy="18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19572" name="Line 116">
            <a:extLst>
              <a:ext uri="{FF2B5EF4-FFF2-40B4-BE49-F238E27FC236}">
                <a16:creationId xmlns:a16="http://schemas.microsoft.com/office/drawing/2014/main" id="{00000000-0008-0000-0400-0000744C0000}"/>
              </a:ext>
            </a:extLst>
          </xdr:cNvPr>
          <xdr:cNvSpPr>
            <a:spLocks noChangeShapeType="1"/>
          </xdr:cNvSpPr>
        </xdr:nvSpPr>
        <xdr:spPr bwMode="auto">
          <a:xfrm>
            <a:off x="593" y="617"/>
            <a:ext cx="0" cy="19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</xdr:grpSp>
    <xdr:clientData/>
  </xdr:twoCellAnchor>
  <xdr:oneCellAnchor>
    <xdr:from>
      <xdr:col>52</xdr:col>
      <xdr:colOff>66675</xdr:colOff>
      <xdr:row>47</xdr:row>
      <xdr:rowOff>573</xdr:rowOff>
    </xdr:from>
    <xdr:ext cx="428835" cy="170303"/>
    <xdr:sp macro="" textlink="">
      <xdr:nvSpPr>
        <xdr:cNvPr id="19573" name="Text Box 117">
          <a:extLst>
            <a:ext uri="{FF2B5EF4-FFF2-40B4-BE49-F238E27FC236}">
              <a16:creationId xmlns:a16="http://schemas.microsoft.com/office/drawing/2014/main" id="{00000000-0008-0000-0400-0000754C0000}"/>
            </a:ext>
          </a:extLst>
        </xdr:cNvPr>
        <xdr:cNvSpPr txBox="1">
          <a:spLocks noChangeArrowheads="1"/>
        </xdr:cNvSpPr>
      </xdr:nvSpPr>
      <xdr:spPr bwMode="auto">
        <a:xfrm>
          <a:off x="14430375" y="6772848"/>
          <a:ext cx="428835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並列分岐</a:t>
          </a:r>
        </a:p>
      </xdr:txBody>
    </xdr:sp>
    <xdr:clientData/>
  </xdr:oneCellAnchor>
  <xdr:twoCellAnchor>
    <xdr:from>
      <xdr:col>49</xdr:col>
      <xdr:colOff>28575</xdr:colOff>
      <xdr:row>49</xdr:row>
      <xdr:rowOff>76200</xdr:rowOff>
    </xdr:from>
    <xdr:to>
      <xdr:col>51</xdr:col>
      <xdr:colOff>161925</xdr:colOff>
      <xdr:row>51</xdr:row>
      <xdr:rowOff>133350</xdr:rowOff>
    </xdr:to>
    <xdr:grpSp>
      <xdr:nvGrpSpPr>
        <xdr:cNvPr id="19574" name="Group 118">
          <a:extLst>
            <a:ext uri="{FF2B5EF4-FFF2-40B4-BE49-F238E27FC236}">
              <a16:creationId xmlns:a16="http://schemas.microsoft.com/office/drawing/2014/main" id="{00000000-0008-0000-0400-0000764C0000}"/>
            </a:ext>
          </a:extLst>
        </xdr:cNvPr>
        <xdr:cNvGrpSpPr>
          <a:grpSpLocks/>
        </xdr:cNvGrpSpPr>
      </xdr:nvGrpSpPr>
      <xdr:grpSpPr bwMode="auto">
        <a:xfrm>
          <a:off x="13563600" y="7134225"/>
          <a:ext cx="685800" cy="342900"/>
          <a:chOff x="536" y="660"/>
          <a:chExt cx="72" cy="36"/>
        </a:xfrm>
      </xdr:grpSpPr>
      <xdr:sp macro="" textlink="">
        <xdr:nvSpPr>
          <xdr:cNvPr id="19575" name="Line 119">
            <a:extLst>
              <a:ext uri="{FF2B5EF4-FFF2-40B4-BE49-F238E27FC236}">
                <a16:creationId xmlns:a16="http://schemas.microsoft.com/office/drawing/2014/main" id="{00000000-0008-0000-0400-0000774C0000}"/>
              </a:ext>
            </a:extLst>
          </xdr:cNvPr>
          <xdr:cNvSpPr>
            <a:spLocks noChangeShapeType="1"/>
          </xdr:cNvSpPr>
        </xdr:nvSpPr>
        <xdr:spPr bwMode="auto">
          <a:xfrm>
            <a:off x="536" y="679"/>
            <a:ext cx="72" cy="0"/>
          </a:xfrm>
          <a:prstGeom prst="line">
            <a:avLst/>
          </a:prstGeom>
          <a:noFill/>
          <a:ln w="3810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9576" name="Line 120">
            <a:extLst>
              <a:ext uri="{FF2B5EF4-FFF2-40B4-BE49-F238E27FC236}">
                <a16:creationId xmlns:a16="http://schemas.microsoft.com/office/drawing/2014/main" id="{00000000-0008-0000-0400-0000784C0000}"/>
              </a:ext>
            </a:extLst>
          </xdr:cNvPr>
          <xdr:cNvSpPr>
            <a:spLocks noChangeShapeType="1"/>
          </xdr:cNvSpPr>
        </xdr:nvSpPr>
        <xdr:spPr bwMode="auto">
          <a:xfrm>
            <a:off x="571" y="681"/>
            <a:ext cx="1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19577" name="Line 121">
            <a:extLst>
              <a:ext uri="{FF2B5EF4-FFF2-40B4-BE49-F238E27FC236}">
                <a16:creationId xmlns:a16="http://schemas.microsoft.com/office/drawing/2014/main" id="{00000000-0008-0000-0400-0000794C0000}"/>
              </a:ext>
            </a:extLst>
          </xdr:cNvPr>
          <xdr:cNvSpPr>
            <a:spLocks noChangeShapeType="1"/>
          </xdr:cNvSpPr>
        </xdr:nvSpPr>
        <xdr:spPr bwMode="auto">
          <a:xfrm>
            <a:off x="549" y="660"/>
            <a:ext cx="0" cy="18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19578" name="Line 122">
            <a:extLst>
              <a:ext uri="{FF2B5EF4-FFF2-40B4-BE49-F238E27FC236}">
                <a16:creationId xmlns:a16="http://schemas.microsoft.com/office/drawing/2014/main" id="{00000000-0008-0000-0400-00007A4C0000}"/>
              </a:ext>
            </a:extLst>
          </xdr:cNvPr>
          <xdr:cNvSpPr>
            <a:spLocks noChangeShapeType="1"/>
          </xdr:cNvSpPr>
        </xdr:nvSpPr>
        <xdr:spPr bwMode="auto">
          <a:xfrm>
            <a:off x="593" y="660"/>
            <a:ext cx="0" cy="19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</xdr:grpSp>
    <xdr:clientData/>
  </xdr:twoCellAnchor>
  <xdr:oneCellAnchor>
    <xdr:from>
      <xdr:col>52</xdr:col>
      <xdr:colOff>66675</xdr:colOff>
      <xdr:row>50</xdr:row>
      <xdr:rowOff>19623</xdr:rowOff>
    </xdr:from>
    <xdr:ext cx="736612" cy="170303"/>
    <xdr:sp macro="" textlink="">
      <xdr:nvSpPr>
        <xdr:cNvPr id="19579" name="Text Box 123">
          <a:extLst>
            <a:ext uri="{FF2B5EF4-FFF2-40B4-BE49-F238E27FC236}">
              <a16:creationId xmlns:a16="http://schemas.microsoft.com/office/drawing/2014/main" id="{00000000-0008-0000-0400-00007B4C0000}"/>
            </a:ext>
          </a:extLst>
        </xdr:cNvPr>
        <xdr:cNvSpPr txBox="1">
          <a:spLocks noChangeArrowheads="1"/>
        </xdr:cNvSpPr>
      </xdr:nvSpPr>
      <xdr:spPr bwMode="auto">
        <a:xfrm>
          <a:off x="14430375" y="7220523"/>
          <a:ext cx="736612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待ち合わせ同期</a:t>
          </a:r>
        </a:p>
      </xdr:txBody>
    </xdr:sp>
    <xdr:clientData/>
  </xdr:oneCellAnchor>
  <xdr:twoCellAnchor>
    <xdr:from>
      <xdr:col>36</xdr:col>
      <xdr:colOff>200025</xdr:colOff>
      <xdr:row>41</xdr:row>
      <xdr:rowOff>114300</xdr:rowOff>
    </xdr:from>
    <xdr:to>
      <xdr:col>37</xdr:col>
      <xdr:colOff>66675</xdr:colOff>
      <xdr:row>42</xdr:row>
      <xdr:rowOff>114300</xdr:rowOff>
    </xdr:to>
    <xdr:sp macro="" textlink="">
      <xdr:nvSpPr>
        <xdr:cNvPr id="19580" name="Oval 124">
          <a:extLst>
            <a:ext uri="{FF2B5EF4-FFF2-40B4-BE49-F238E27FC236}">
              <a16:creationId xmlns:a16="http://schemas.microsoft.com/office/drawing/2014/main" id="{00000000-0008-0000-0400-00007C4C0000}"/>
            </a:ext>
          </a:extLst>
        </xdr:cNvPr>
        <xdr:cNvSpPr>
          <a:spLocks noChangeArrowheads="1"/>
        </xdr:cNvSpPr>
      </xdr:nvSpPr>
      <xdr:spPr bwMode="auto">
        <a:xfrm>
          <a:off x="10144125" y="6029325"/>
          <a:ext cx="142875" cy="142875"/>
        </a:xfrm>
        <a:prstGeom prst="ellipse">
          <a:avLst/>
        </a:prstGeom>
        <a:solidFill>
          <a:srgbClr val="000000"/>
        </a:solidFill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38</xdr:col>
      <xdr:colOff>247650</xdr:colOff>
      <xdr:row>41</xdr:row>
      <xdr:rowOff>105348</xdr:rowOff>
    </xdr:from>
    <xdr:ext cx="531428" cy="170303"/>
    <xdr:sp macro="" textlink="">
      <xdr:nvSpPr>
        <xdr:cNvPr id="19581" name="Text Box 125">
          <a:extLst>
            <a:ext uri="{FF2B5EF4-FFF2-40B4-BE49-F238E27FC236}">
              <a16:creationId xmlns:a16="http://schemas.microsoft.com/office/drawing/2014/main" id="{00000000-0008-0000-0400-00007D4C0000}"/>
            </a:ext>
          </a:extLst>
        </xdr:cNvPr>
        <xdr:cNvSpPr txBox="1">
          <a:spLocks noChangeArrowheads="1"/>
        </xdr:cNvSpPr>
      </xdr:nvSpPr>
      <xdr:spPr bwMode="auto">
        <a:xfrm>
          <a:off x="10744200" y="6020373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処理の開始</a:t>
          </a:r>
        </a:p>
      </xdr:txBody>
    </xdr:sp>
    <xdr:clientData/>
  </xdr:oneCellAnchor>
  <xdr:oneCellAnchor>
    <xdr:from>
      <xdr:col>38</xdr:col>
      <xdr:colOff>247650</xdr:colOff>
      <xdr:row>43</xdr:row>
      <xdr:rowOff>57723</xdr:rowOff>
    </xdr:from>
    <xdr:ext cx="531428" cy="170303"/>
    <xdr:sp macro="" textlink="">
      <xdr:nvSpPr>
        <xdr:cNvPr id="19582" name="Text Box 126">
          <a:extLst>
            <a:ext uri="{FF2B5EF4-FFF2-40B4-BE49-F238E27FC236}">
              <a16:creationId xmlns:a16="http://schemas.microsoft.com/office/drawing/2014/main" id="{00000000-0008-0000-0400-00007E4C0000}"/>
            </a:ext>
          </a:extLst>
        </xdr:cNvPr>
        <xdr:cNvSpPr txBox="1">
          <a:spLocks noChangeArrowheads="1"/>
        </xdr:cNvSpPr>
      </xdr:nvSpPr>
      <xdr:spPr bwMode="auto">
        <a:xfrm>
          <a:off x="10744200" y="6258498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処理の終了</a:t>
          </a:r>
        </a:p>
      </xdr:txBody>
    </xdr:sp>
    <xdr:clientData/>
  </xdr:oneCellAnchor>
  <xdr:twoCellAnchor>
    <xdr:from>
      <xdr:col>36</xdr:col>
      <xdr:colOff>200025</xdr:colOff>
      <xdr:row>43</xdr:row>
      <xdr:rowOff>66675</xdr:rowOff>
    </xdr:from>
    <xdr:to>
      <xdr:col>37</xdr:col>
      <xdr:colOff>66675</xdr:colOff>
      <xdr:row>44</xdr:row>
      <xdr:rowOff>76200</xdr:rowOff>
    </xdr:to>
    <xdr:grpSp>
      <xdr:nvGrpSpPr>
        <xdr:cNvPr id="19583" name="Group 127">
          <a:extLst>
            <a:ext uri="{FF2B5EF4-FFF2-40B4-BE49-F238E27FC236}">
              <a16:creationId xmlns:a16="http://schemas.microsoft.com/office/drawing/2014/main" id="{00000000-0008-0000-0400-00007F4C0000}"/>
            </a:ext>
          </a:extLst>
        </xdr:cNvPr>
        <xdr:cNvGrpSpPr>
          <a:grpSpLocks/>
        </xdr:cNvGrpSpPr>
      </xdr:nvGrpSpPr>
      <xdr:grpSpPr bwMode="auto">
        <a:xfrm>
          <a:off x="10144125" y="6267450"/>
          <a:ext cx="142875" cy="152400"/>
          <a:chOff x="671" y="631"/>
          <a:chExt cx="15" cy="16"/>
        </a:xfrm>
      </xdr:grpSpPr>
      <xdr:sp macro="" textlink="">
        <xdr:nvSpPr>
          <xdr:cNvPr id="19584" name="Oval 128">
            <a:extLst>
              <a:ext uri="{FF2B5EF4-FFF2-40B4-BE49-F238E27FC236}">
                <a16:creationId xmlns:a16="http://schemas.microsoft.com/office/drawing/2014/main" id="{00000000-0008-0000-0400-0000804C0000}"/>
              </a:ext>
            </a:extLst>
          </xdr:cNvPr>
          <xdr:cNvSpPr>
            <a:spLocks noChangeArrowheads="1"/>
          </xdr:cNvSpPr>
        </xdr:nvSpPr>
        <xdr:spPr bwMode="auto">
          <a:xfrm>
            <a:off x="671" y="631"/>
            <a:ext cx="15" cy="16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9585" name="Oval 129">
            <a:extLst>
              <a:ext uri="{FF2B5EF4-FFF2-40B4-BE49-F238E27FC236}">
                <a16:creationId xmlns:a16="http://schemas.microsoft.com/office/drawing/2014/main" id="{00000000-0008-0000-0400-0000814C0000}"/>
              </a:ext>
            </a:extLst>
          </xdr:cNvPr>
          <xdr:cNvSpPr>
            <a:spLocks noChangeArrowheads="1"/>
          </xdr:cNvSpPr>
        </xdr:nvSpPr>
        <xdr:spPr bwMode="auto">
          <a:xfrm>
            <a:off x="673" y="633"/>
            <a:ext cx="11" cy="12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</xdr:grpSp>
    <xdr:clientData/>
  </xdr:twoCellAnchor>
  <xdr:twoCellAnchor>
    <xdr:from>
      <xdr:col>49</xdr:col>
      <xdr:colOff>38100</xdr:colOff>
      <xdr:row>39</xdr:row>
      <xdr:rowOff>104775</xdr:rowOff>
    </xdr:from>
    <xdr:to>
      <xdr:col>51</xdr:col>
      <xdr:colOff>161925</xdr:colOff>
      <xdr:row>43</xdr:row>
      <xdr:rowOff>0</xdr:rowOff>
    </xdr:to>
    <xdr:sp macro="" textlink="">
      <xdr:nvSpPr>
        <xdr:cNvPr id="19589" name="AutoShape 133">
          <a:extLst>
            <a:ext uri="{FF2B5EF4-FFF2-40B4-BE49-F238E27FC236}">
              <a16:creationId xmlns:a16="http://schemas.microsoft.com/office/drawing/2014/main" id="{00000000-0008-0000-0400-0000854C0000}"/>
            </a:ext>
          </a:extLst>
        </xdr:cNvPr>
        <xdr:cNvSpPr>
          <a:spLocks noChangeArrowheads="1"/>
        </xdr:cNvSpPr>
      </xdr:nvSpPr>
      <xdr:spPr bwMode="auto">
        <a:xfrm>
          <a:off x="13573125" y="5734050"/>
          <a:ext cx="676275" cy="466725"/>
        </a:xfrm>
        <a:prstGeom prst="flowChartOnlineStorage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twoCellAnchor>
    <xdr:from>
      <xdr:col>52</xdr:col>
      <xdr:colOff>66675</xdr:colOff>
      <xdr:row>40</xdr:row>
      <xdr:rowOff>66675</xdr:rowOff>
    </xdr:from>
    <xdr:to>
      <xdr:col>55</xdr:col>
      <xdr:colOff>152400</xdr:colOff>
      <xdr:row>42</xdr:row>
      <xdr:rowOff>38100</xdr:rowOff>
    </xdr:to>
    <xdr:sp macro="" textlink="">
      <xdr:nvSpPr>
        <xdr:cNvPr id="19590" name="Text Box 134">
          <a:extLst>
            <a:ext uri="{FF2B5EF4-FFF2-40B4-BE49-F238E27FC236}">
              <a16:creationId xmlns:a16="http://schemas.microsoft.com/office/drawing/2014/main" id="{00000000-0008-0000-0400-0000864C0000}"/>
            </a:ext>
          </a:extLst>
        </xdr:cNvPr>
        <xdr:cNvSpPr txBox="1">
          <a:spLocks noChangeArrowheads="1"/>
        </xdr:cNvSpPr>
      </xdr:nvSpPr>
      <xdr:spPr bwMode="auto">
        <a:xfrm>
          <a:off x="14430375" y="5838825"/>
          <a:ext cx="914400" cy="257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/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電文</a:t>
          </a:r>
        </a:p>
      </xdr:txBody>
    </xdr:sp>
    <xdr:clientData/>
  </xdr:twoCellAnchor>
  <xdr:oneCellAnchor>
    <xdr:from>
      <xdr:col>49</xdr:col>
      <xdr:colOff>34962</xdr:colOff>
      <xdr:row>40</xdr:row>
      <xdr:rowOff>38100</xdr:rowOff>
    </xdr:from>
    <xdr:ext cx="806375" cy="285206"/>
    <xdr:sp macro="" textlink="">
      <xdr:nvSpPr>
        <xdr:cNvPr id="19591" name="Text Box 135">
          <a:extLst>
            <a:ext uri="{FF2B5EF4-FFF2-40B4-BE49-F238E27FC236}">
              <a16:creationId xmlns:a16="http://schemas.microsoft.com/office/drawing/2014/main" id="{00000000-0008-0000-0400-0000874C0000}"/>
            </a:ext>
          </a:extLst>
        </xdr:cNvPr>
        <xdr:cNvSpPr txBox="1">
          <a:spLocks noChangeArrowheads="1"/>
        </xdr:cNvSpPr>
      </xdr:nvSpPr>
      <xdr:spPr bwMode="auto">
        <a:xfrm>
          <a:off x="13569987" y="5810250"/>
          <a:ext cx="806375" cy="28520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/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電文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ID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/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電文名</a:t>
          </a:r>
        </a:p>
      </xdr:txBody>
    </xdr:sp>
    <xdr:clientData/>
  </xdr:oneCellAnchor>
  <xdr:twoCellAnchor>
    <xdr:from>
      <xdr:col>36</xdr:col>
      <xdr:colOff>0</xdr:colOff>
      <xdr:row>45</xdr:row>
      <xdr:rowOff>66675</xdr:rowOff>
    </xdr:from>
    <xdr:to>
      <xdr:col>37</xdr:col>
      <xdr:colOff>257175</xdr:colOff>
      <xdr:row>47</xdr:row>
      <xdr:rowOff>57150</xdr:rowOff>
    </xdr:to>
    <xdr:sp macro="" textlink="">
      <xdr:nvSpPr>
        <xdr:cNvPr id="19592" name="AutoShape 136">
          <a:extLst>
            <a:ext uri="{FF2B5EF4-FFF2-40B4-BE49-F238E27FC236}">
              <a16:creationId xmlns:a16="http://schemas.microsoft.com/office/drawing/2014/main" id="{00000000-0008-0000-0400-0000884C0000}"/>
            </a:ext>
          </a:extLst>
        </xdr:cNvPr>
        <xdr:cNvSpPr>
          <a:spLocks noChangeArrowheads="1"/>
        </xdr:cNvSpPr>
      </xdr:nvSpPr>
      <xdr:spPr bwMode="auto">
        <a:xfrm>
          <a:off x="9944100" y="6553200"/>
          <a:ext cx="533400" cy="276225"/>
        </a:xfrm>
        <a:prstGeom prst="roundRect">
          <a:avLst>
            <a:gd name="adj" fmla="val 16667"/>
          </a:avLst>
        </a:prstGeom>
        <a:solidFill>
          <a:srgbClr val="FFFFFF"/>
        </a:solidFill>
        <a:ln w="9525">
          <a:solidFill>
            <a:srgbClr val="000000"/>
          </a:solidFill>
          <a:prstDash val="dash"/>
          <a:round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twoCellAnchor>
    <xdr:from>
      <xdr:col>38</xdr:col>
      <xdr:colOff>247650</xdr:colOff>
      <xdr:row>45</xdr:row>
      <xdr:rowOff>85725</xdr:rowOff>
    </xdr:from>
    <xdr:to>
      <xdr:col>42</xdr:col>
      <xdr:colOff>57150</xdr:colOff>
      <xdr:row>47</xdr:row>
      <xdr:rowOff>57150</xdr:rowOff>
    </xdr:to>
    <xdr:sp macro="" textlink="">
      <xdr:nvSpPr>
        <xdr:cNvPr id="19593" name="Text Box 137">
          <a:extLst>
            <a:ext uri="{FF2B5EF4-FFF2-40B4-BE49-F238E27FC236}">
              <a16:creationId xmlns:a16="http://schemas.microsoft.com/office/drawing/2014/main" id="{00000000-0008-0000-0400-0000894C0000}"/>
            </a:ext>
          </a:extLst>
        </xdr:cNvPr>
        <xdr:cNvSpPr txBox="1">
          <a:spLocks noChangeArrowheads="1"/>
        </xdr:cNvSpPr>
      </xdr:nvSpPr>
      <xdr:spPr bwMode="auto">
        <a:xfrm>
          <a:off x="10744200" y="6572250"/>
          <a:ext cx="914400" cy="257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グループ化</a:t>
          </a:r>
        </a:p>
      </xdr:txBody>
    </xdr:sp>
    <xdr:clientData/>
  </xdr:twoCellAnchor>
  <xdr:twoCellAnchor>
    <xdr:from>
      <xdr:col>42</xdr:col>
      <xdr:colOff>190500</xdr:colOff>
      <xdr:row>39</xdr:row>
      <xdr:rowOff>69574</xdr:rowOff>
    </xdr:from>
    <xdr:to>
      <xdr:col>45</xdr:col>
      <xdr:colOff>38100</xdr:colOff>
      <xdr:row>41</xdr:row>
      <xdr:rowOff>114300</xdr:rowOff>
    </xdr:to>
    <xdr:sp macro="" textlink="">
      <xdr:nvSpPr>
        <xdr:cNvPr id="45" name="Rectangle 98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>
          <a:spLocks noChangeArrowheads="1"/>
        </xdr:cNvSpPr>
      </xdr:nvSpPr>
      <xdr:spPr bwMode="auto">
        <a:xfrm>
          <a:off x="11791950" y="5698849"/>
          <a:ext cx="676275" cy="3304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ﾊﾞｯﾁ処理ID</a:t>
          </a:r>
        </a:p>
        <a:p>
          <a:pPr algn="ctr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ﾊﾞｯﾁ処理名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 w="med" len="med"/>
        </a:ln>
        <a:effectLst/>
      </a:spPr>
      <a:bodyPr vertOverflow="clip" wrap="square" lIns="18000" tIns="7200" rIns="18000" bIns="720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 w="med" len="med"/>
        </a:ln>
        <a:effectLst/>
      </a:spPr>
      <a:bodyPr vertOverflow="clip" wrap="square" lIns="18000" tIns="7200" rIns="18000" bIns="720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2"/>
  <sheetViews>
    <sheetView showGridLines="0" tabSelected="1" view="pageBreakPreview" zoomScaleNormal="100" zoomScaleSheetLayoutView="100" workbookViewId="0"/>
  </sheetViews>
  <sheetFormatPr defaultColWidth="8.83203125" defaultRowHeight="13.5" x14ac:dyDescent="0.15"/>
  <cols>
    <col min="1" max="2" width="8.83203125" style="87" customWidth="1"/>
    <col min="3" max="16384" width="8.83203125" style="87"/>
  </cols>
  <sheetData>
    <row r="1" spans="1:16" ht="13.5" customHeight="1" x14ac:dyDescent="0.25">
      <c r="B1" s="1"/>
      <c r="C1" s="2"/>
    </row>
    <row r="2" spans="1:16" ht="19.5" customHeight="1" x14ac:dyDescent="0.2">
      <c r="A2" s="3"/>
    </row>
    <row r="3" spans="1:16" ht="13.5" customHeight="1" x14ac:dyDescent="0.15"/>
    <row r="4" spans="1:16" ht="13.5" customHeight="1" x14ac:dyDescent="0.15"/>
    <row r="5" spans="1:16" ht="13.5" customHeight="1" x14ac:dyDescent="0.15"/>
    <row r="6" spans="1:16" ht="13.5" customHeight="1" x14ac:dyDescent="0.15"/>
    <row r="7" spans="1:16" ht="13.5" customHeight="1" x14ac:dyDescent="0.15"/>
    <row r="8" spans="1:16" ht="13.5" customHeight="1" x14ac:dyDescent="0.15"/>
    <row r="9" spans="1:16" ht="13.5" customHeight="1" x14ac:dyDescent="0.15"/>
    <row r="10" spans="1:16" ht="13.5" customHeight="1" x14ac:dyDescent="0.15"/>
    <row r="11" spans="1:16" ht="13.5" customHeight="1" x14ac:dyDescent="0.15">
      <c r="D11" s="84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</row>
    <row r="12" spans="1:16" ht="21" customHeight="1" x14ac:dyDescent="0.2">
      <c r="D12" s="91"/>
      <c r="J12" s="104" t="str">
        <f ca="1">IF(INDIRECT("変更履歴!E1")&lt;&gt;"",INDIRECT("変更履歴!E1"),"")</f>
        <v/>
      </c>
      <c r="P12" s="93"/>
    </row>
    <row r="13" spans="1:16" ht="13.5" customHeight="1" x14ac:dyDescent="0.15">
      <c r="D13" s="91"/>
      <c r="P13" s="93"/>
    </row>
    <row r="14" spans="1:16" ht="21" customHeight="1" x14ac:dyDescent="0.2">
      <c r="D14" s="91"/>
      <c r="J14" s="104" t="s">
        <v>0</v>
      </c>
      <c r="P14" s="93"/>
    </row>
    <row r="15" spans="1:16" ht="13.5" customHeight="1" x14ac:dyDescent="0.15">
      <c r="D15" s="91"/>
      <c r="P15" s="93"/>
    </row>
    <row r="16" spans="1:16" ht="21" customHeight="1" x14ac:dyDescent="0.2">
      <c r="D16" s="91"/>
      <c r="J16" s="104" t="str">
        <f ca="1">IF(INDIRECT("変更履歴!E3")&lt;&gt;"",INDIRECT("変更履歴!E3"),"")</f>
        <v/>
      </c>
      <c r="P16" s="93"/>
    </row>
    <row r="17" spans="4:16" ht="13.5" customHeight="1" x14ac:dyDescent="0.15">
      <c r="D17" s="94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6"/>
    </row>
    <row r="18" spans="4:16" ht="13.5" customHeight="1" x14ac:dyDescent="0.15"/>
    <row r="19" spans="4:16" ht="17.25" customHeight="1" x14ac:dyDescent="0.2">
      <c r="J19" s="105" t="s">
        <v>1</v>
      </c>
    </row>
    <row r="20" spans="4:16" ht="13.5" customHeight="1" x14ac:dyDescent="0.15"/>
    <row r="21" spans="4:16" ht="18" customHeight="1" x14ac:dyDescent="0.15">
      <c r="I21" s="109" t="str">
        <f ca="1">IF(INDIRECT("変更履歴!D8")="","",MAX(INDIRECT("変更履歴!D8"):INDIRECT("変更履歴!F33")))</f>
        <v/>
      </c>
      <c r="J21" s="110"/>
      <c r="K21" s="110"/>
    </row>
    <row r="22" spans="4:16" ht="13.5" customHeight="1" x14ac:dyDescent="0.2">
      <c r="F22" s="4"/>
      <c r="H22" s="4"/>
    </row>
    <row r="23" spans="4:16" ht="13.5" customHeight="1" x14ac:dyDescent="0.2">
      <c r="F23" s="4"/>
      <c r="G23" s="4"/>
      <c r="H23" s="85"/>
      <c r="I23" s="18"/>
      <c r="J23" s="86"/>
      <c r="K23" s="18"/>
      <c r="L23" s="18"/>
    </row>
    <row r="24" spans="4:16" ht="13.5" customHeight="1" x14ac:dyDescent="0.2">
      <c r="F24" s="4"/>
      <c r="G24" s="4"/>
      <c r="H24" s="4"/>
      <c r="I24" s="18"/>
      <c r="J24" s="18"/>
      <c r="K24" s="18"/>
      <c r="L24" s="18"/>
    </row>
    <row r="25" spans="4:16" ht="15" customHeight="1" x14ac:dyDescent="0.2">
      <c r="F25" s="4"/>
      <c r="G25" s="4"/>
      <c r="H25" s="85"/>
      <c r="I25" s="77"/>
      <c r="J25" s="11"/>
      <c r="L25" s="18"/>
    </row>
    <row r="26" spans="4:16" ht="13.5" customHeight="1" x14ac:dyDescent="0.2">
      <c r="F26" s="4"/>
      <c r="G26" s="4"/>
      <c r="H26" s="4"/>
      <c r="I26" s="18"/>
      <c r="J26" s="18"/>
      <c r="K26" s="18"/>
      <c r="L26" s="18"/>
    </row>
    <row r="27" spans="4:16" ht="18.75" customHeight="1" x14ac:dyDescent="0.2">
      <c r="F27" s="4"/>
      <c r="G27" s="4"/>
      <c r="H27" s="83"/>
      <c r="I27" s="18"/>
      <c r="J27" s="18"/>
      <c r="K27" s="18"/>
      <c r="L27" s="18"/>
    </row>
    <row r="28" spans="4:16" ht="18.75" customHeight="1" x14ac:dyDescent="0.2">
      <c r="F28" s="5"/>
      <c r="G28" s="4"/>
      <c r="H28" s="4"/>
      <c r="I28" s="18"/>
      <c r="J28" s="19" t="s">
        <v>2</v>
      </c>
      <c r="K28" s="18"/>
      <c r="L28" s="18"/>
    </row>
    <row r="29" spans="4:16" ht="18.75" customHeight="1" x14ac:dyDescent="0.2">
      <c r="F29" s="4"/>
      <c r="H29" s="83"/>
      <c r="I29" s="18"/>
      <c r="J29" s="18"/>
      <c r="K29" s="18"/>
      <c r="L29" s="18"/>
    </row>
    <row r="30" spans="4:16" ht="18.75" customHeight="1" x14ac:dyDescent="0.2">
      <c r="F30" s="4"/>
      <c r="G30" s="9"/>
      <c r="H30" s="4"/>
      <c r="I30" s="18"/>
      <c r="J30" s="19" t="s">
        <v>3</v>
      </c>
      <c r="K30" s="18"/>
      <c r="L30" s="18"/>
    </row>
    <row r="31" spans="4:16" ht="13.5" customHeight="1" x14ac:dyDescent="0.2">
      <c r="F31" s="4"/>
      <c r="G31" s="9"/>
      <c r="H31" s="4"/>
      <c r="I31" s="18"/>
      <c r="J31" s="18"/>
      <c r="K31" s="18"/>
      <c r="L31" s="18"/>
    </row>
    <row r="32" spans="4:16" ht="18.75" customHeight="1" x14ac:dyDescent="0.2">
      <c r="F32" s="4"/>
      <c r="G32" s="9"/>
      <c r="H32" s="4"/>
      <c r="I32" s="18"/>
      <c r="J32" s="19"/>
      <c r="K32" s="18"/>
      <c r="L32" s="18"/>
    </row>
    <row r="33" spans="6:19" ht="18.75" customHeight="1" x14ac:dyDescent="0.2">
      <c r="F33" s="4"/>
      <c r="H33" s="4"/>
      <c r="I33" s="18"/>
      <c r="J33" s="20"/>
      <c r="K33" s="18"/>
      <c r="L33" s="21"/>
      <c r="M33" s="34"/>
      <c r="N33" s="6"/>
      <c r="O33" s="6"/>
      <c r="P33" s="6"/>
    </row>
    <row r="34" spans="6:19" ht="18.75" customHeight="1" x14ac:dyDescent="0.2">
      <c r="F34" s="4"/>
      <c r="H34" s="4"/>
      <c r="I34" s="18"/>
      <c r="J34" s="19"/>
      <c r="K34" s="18"/>
      <c r="L34" s="21"/>
      <c r="M34" s="6"/>
      <c r="N34" s="6"/>
      <c r="O34" s="6"/>
      <c r="P34" s="6"/>
      <c r="Q34" s="106"/>
      <c r="R34" s="107"/>
      <c r="S34" s="107"/>
    </row>
    <row r="35" spans="6:19" ht="13.5" customHeight="1" x14ac:dyDescent="0.15">
      <c r="O35" s="6"/>
      <c r="P35" s="6"/>
      <c r="Q35" s="107"/>
      <c r="R35" s="107"/>
      <c r="S35" s="107"/>
    </row>
    <row r="36" spans="6:19" ht="13.5" customHeight="1" x14ac:dyDescent="0.15">
      <c r="O36" s="108"/>
      <c r="P36" s="107"/>
      <c r="Q36" s="108"/>
      <c r="R36" s="107"/>
      <c r="S36" s="108"/>
    </row>
    <row r="37" spans="6:19" ht="13.5" customHeight="1" x14ac:dyDescent="0.15">
      <c r="O37" s="107"/>
      <c r="P37" s="107"/>
      <c r="Q37" s="107"/>
      <c r="R37" s="107"/>
      <c r="S37" s="107"/>
    </row>
    <row r="38" spans="6:19" ht="13.5" customHeight="1" x14ac:dyDescent="0.15">
      <c r="O38" s="107"/>
      <c r="P38" s="107"/>
      <c r="Q38" s="107"/>
      <c r="R38" s="107"/>
      <c r="S38" s="107"/>
    </row>
    <row r="39" spans="6:19" ht="13.5" customHeight="1" x14ac:dyDescent="0.15"/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</sheetData>
  <mergeCells count="5">
    <mergeCell ref="Q34:S35"/>
    <mergeCell ref="Q36:R38"/>
    <mergeCell ref="O36:P38"/>
    <mergeCell ref="I21:K21"/>
    <mergeCell ref="S36:S38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AN4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11" customWidth="1"/>
    <col min="3" max="16384" width="4.83203125" style="11"/>
  </cols>
  <sheetData>
    <row r="1" spans="1:40" s="92" customFormat="1" ht="12" customHeight="1" x14ac:dyDescent="0.15">
      <c r="A1" s="123" t="s">
        <v>4</v>
      </c>
      <c r="B1" s="112"/>
      <c r="C1" s="112"/>
      <c r="D1" s="113"/>
      <c r="E1" s="120"/>
      <c r="F1" s="112"/>
      <c r="G1" s="112"/>
      <c r="H1" s="112"/>
      <c r="I1" s="112"/>
      <c r="J1" s="112"/>
      <c r="K1" s="112"/>
      <c r="L1" s="112"/>
      <c r="M1" s="112"/>
      <c r="N1" s="113"/>
      <c r="O1" s="133" t="s">
        <v>5</v>
      </c>
      <c r="P1" s="126"/>
      <c r="Q1" s="126"/>
      <c r="R1" s="127"/>
      <c r="S1" s="141" t="s">
        <v>0</v>
      </c>
      <c r="T1" s="126"/>
      <c r="U1" s="126"/>
      <c r="V1" s="126"/>
      <c r="W1" s="126"/>
      <c r="X1" s="126"/>
      <c r="Y1" s="126"/>
      <c r="Z1" s="127"/>
      <c r="AA1" s="115" t="s">
        <v>6</v>
      </c>
      <c r="AB1" s="113"/>
      <c r="AC1" s="124" t="str">
        <f>IF(AF8="","",AF8)</f>
        <v/>
      </c>
      <c r="AD1" s="112"/>
      <c r="AE1" s="112"/>
      <c r="AF1" s="113"/>
      <c r="AG1" s="128" t="str">
        <f>IF(D8="","",D8)</f>
        <v/>
      </c>
      <c r="AH1" s="112"/>
      <c r="AI1" s="113"/>
      <c r="AJ1" s="7"/>
      <c r="AK1" s="7"/>
      <c r="AL1" s="7"/>
      <c r="AM1" s="7"/>
      <c r="AN1" s="8"/>
    </row>
    <row r="2" spans="1:40" s="92" customFormat="1" ht="12" customHeight="1" x14ac:dyDescent="0.15">
      <c r="A2" s="115" t="s">
        <v>7</v>
      </c>
      <c r="B2" s="112"/>
      <c r="C2" s="112"/>
      <c r="D2" s="113"/>
      <c r="E2" s="120"/>
      <c r="F2" s="112"/>
      <c r="G2" s="112"/>
      <c r="H2" s="112"/>
      <c r="I2" s="112"/>
      <c r="J2" s="112"/>
      <c r="K2" s="112"/>
      <c r="L2" s="112"/>
      <c r="M2" s="112"/>
      <c r="N2" s="113"/>
      <c r="O2" s="134"/>
      <c r="P2" s="135"/>
      <c r="Q2" s="135"/>
      <c r="R2" s="136"/>
      <c r="S2" s="134"/>
      <c r="T2" s="135"/>
      <c r="U2" s="135"/>
      <c r="V2" s="135"/>
      <c r="W2" s="135"/>
      <c r="X2" s="135"/>
      <c r="Y2" s="135"/>
      <c r="Z2" s="136"/>
      <c r="AA2" s="115" t="s">
        <v>8</v>
      </c>
      <c r="AB2" s="113"/>
      <c r="AC2" s="131" t="str">
        <f ca="1">IF(COUNTA(AF9:AF33)&lt;&gt;0,INDIRECT("AF"&amp;(COUNTA(AF9:AF33)+8)),"")</f>
        <v/>
      </c>
      <c r="AD2" s="112"/>
      <c r="AE2" s="112"/>
      <c r="AF2" s="113"/>
      <c r="AG2" s="128" t="str">
        <f>IF(D9="","",MAX(D9:F33))</f>
        <v/>
      </c>
      <c r="AH2" s="112"/>
      <c r="AI2" s="113"/>
      <c r="AJ2" s="7"/>
      <c r="AK2" s="7"/>
      <c r="AL2" s="7"/>
      <c r="AM2" s="7"/>
      <c r="AN2" s="7"/>
    </row>
    <row r="3" spans="1:40" s="92" customFormat="1" ht="12" customHeight="1" x14ac:dyDescent="0.15">
      <c r="A3" s="122" t="s">
        <v>9</v>
      </c>
      <c r="B3" s="112"/>
      <c r="C3" s="112"/>
      <c r="D3" s="113"/>
      <c r="E3" s="120"/>
      <c r="F3" s="112"/>
      <c r="G3" s="112"/>
      <c r="H3" s="112"/>
      <c r="I3" s="112"/>
      <c r="J3" s="112"/>
      <c r="K3" s="112"/>
      <c r="L3" s="112"/>
      <c r="M3" s="112"/>
      <c r="N3" s="113"/>
      <c r="O3" s="137"/>
      <c r="P3" s="138"/>
      <c r="Q3" s="138"/>
      <c r="R3" s="139"/>
      <c r="S3" s="137"/>
      <c r="T3" s="138"/>
      <c r="U3" s="138"/>
      <c r="V3" s="138"/>
      <c r="W3" s="138"/>
      <c r="X3" s="138"/>
      <c r="Y3" s="138"/>
      <c r="Z3" s="139"/>
      <c r="AA3" s="122"/>
      <c r="AB3" s="113"/>
      <c r="AC3" s="124"/>
      <c r="AD3" s="112"/>
      <c r="AE3" s="112"/>
      <c r="AF3" s="113"/>
      <c r="AG3" s="128"/>
      <c r="AH3" s="112"/>
      <c r="AI3" s="113"/>
      <c r="AJ3" s="7"/>
      <c r="AK3" s="7"/>
      <c r="AL3" s="7"/>
      <c r="AM3" s="7"/>
      <c r="AN3" s="7"/>
    </row>
    <row r="4" spans="1:40" x14ac:dyDescent="0.1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</row>
    <row r="5" spans="1:40" s="15" customFormat="1" ht="22.5" customHeight="1" x14ac:dyDescent="0.2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10" t="s">
        <v>10</v>
      </c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22"/>
      <c r="AB5" s="22"/>
      <c r="AC5" s="23"/>
      <c r="AD5" s="24"/>
      <c r="AE5" s="24"/>
      <c r="AF5" s="24"/>
      <c r="AG5" s="22"/>
      <c r="AH5" s="22"/>
      <c r="AI5" s="22"/>
      <c r="AJ5" s="92"/>
      <c r="AK5" s="92"/>
      <c r="AL5" s="92"/>
      <c r="AM5" s="92"/>
      <c r="AN5" s="92"/>
    </row>
    <row r="6" spans="1:40" s="15" customFormat="1" ht="15" customHeight="1" x14ac:dyDescent="0.2">
      <c r="A6" s="92"/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10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22"/>
      <c r="AB6" s="22"/>
      <c r="AC6" s="23"/>
      <c r="AD6" s="24"/>
      <c r="AE6" s="24"/>
      <c r="AF6" s="24"/>
      <c r="AG6" s="22"/>
      <c r="AH6" s="22"/>
      <c r="AI6" s="22"/>
      <c r="AJ6" s="92"/>
      <c r="AK6" s="92"/>
      <c r="AL6" s="92"/>
      <c r="AM6" s="92"/>
      <c r="AN6" s="92"/>
    </row>
    <row r="7" spans="1:40" s="16" customFormat="1" ht="15" customHeight="1" thickBot="1" x14ac:dyDescent="0.2">
      <c r="A7" s="17" t="s">
        <v>11</v>
      </c>
      <c r="B7" s="125" t="s">
        <v>12</v>
      </c>
      <c r="C7" s="127"/>
      <c r="D7" s="125" t="s">
        <v>13</v>
      </c>
      <c r="E7" s="126"/>
      <c r="F7" s="127"/>
      <c r="G7" s="125" t="s">
        <v>14</v>
      </c>
      <c r="H7" s="126"/>
      <c r="I7" s="127"/>
      <c r="J7" s="130" t="s">
        <v>15</v>
      </c>
      <c r="K7" s="126"/>
      <c r="L7" s="126"/>
      <c r="M7" s="126"/>
      <c r="N7" s="126"/>
      <c r="O7" s="126"/>
      <c r="P7" s="127"/>
      <c r="Q7" s="125" t="s">
        <v>16</v>
      </c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7"/>
      <c r="AF7" s="125" t="s">
        <v>17</v>
      </c>
      <c r="AG7" s="126"/>
      <c r="AH7" s="126"/>
      <c r="AI7" s="127"/>
      <c r="AJ7" s="25"/>
      <c r="AK7" s="25"/>
      <c r="AL7" s="25"/>
      <c r="AM7" s="25"/>
      <c r="AN7" s="25"/>
    </row>
    <row r="8" spans="1:40" s="16" customFormat="1" ht="15" customHeight="1" thickTop="1" x14ac:dyDescent="0.15">
      <c r="A8" s="74"/>
      <c r="B8" s="129"/>
      <c r="C8" s="119"/>
      <c r="D8" s="132"/>
      <c r="E8" s="118"/>
      <c r="F8" s="119"/>
      <c r="G8" s="129"/>
      <c r="H8" s="118"/>
      <c r="I8" s="119"/>
      <c r="J8" s="117"/>
      <c r="K8" s="118"/>
      <c r="L8" s="118"/>
      <c r="M8" s="118"/>
      <c r="N8" s="118"/>
      <c r="O8" s="118"/>
      <c r="P8" s="119"/>
      <c r="Q8" s="140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9"/>
      <c r="AF8" s="117"/>
      <c r="AG8" s="118"/>
      <c r="AH8" s="118"/>
      <c r="AI8" s="119"/>
      <c r="AJ8" s="25"/>
      <c r="AK8" s="25"/>
      <c r="AL8" s="25"/>
      <c r="AM8" s="25"/>
      <c r="AN8" s="25"/>
    </row>
    <row r="9" spans="1:40" s="16" customFormat="1" ht="15" customHeight="1" x14ac:dyDescent="0.15">
      <c r="A9" s="75"/>
      <c r="B9" s="116"/>
      <c r="C9" s="113"/>
      <c r="D9" s="121"/>
      <c r="E9" s="112"/>
      <c r="F9" s="113"/>
      <c r="G9" s="116"/>
      <c r="H9" s="112"/>
      <c r="I9" s="113"/>
      <c r="J9" s="114"/>
      <c r="K9" s="112"/>
      <c r="L9" s="112"/>
      <c r="M9" s="112"/>
      <c r="N9" s="112"/>
      <c r="O9" s="112"/>
      <c r="P9" s="113"/>
      <c r="Q9" s="111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3"/>
      <c r="AF9" s="114"/>
      <c r="AG9" s="112"/>
      <c r="AH9" s="112"/>
      <c r="AI9" s="113"/>
      <c r="AJ9" s="25"/>
      <c r="AK9" s="25"/>
      <c r="AL9" s="25"/>
      <c r="AM9" s="25"/>
      <c r="AN9" s="25"/>
    </row>
    <row r="10" spans="1:40" s="16" customFormat="1" ht="15" customHeight="1" x14ac:dyDescent="0.15">
      <c r="A10" s="75"/>
      <c r="B10" s="116"/>
      <c r="C10" s="113"/>
      <c r="D10" s="121"/>
      <c r="E10" s="112"/>
      <c r="F10" s="113"/>
      <c r="G10" s="116"/>
      <c r="H10" s="112"/>
      <c r="I10" s="113"/>
      <c r="J10" s="114"/>
      <c r="K10" s="112"/>
      <c r="L10" s="112"/>
      <c r="M10" s="112"/>
      <c r="N10" s="112"/>
      <c r="O10" s="112"/>
      <c r="P10" s="113"/>
      <c r="Q10" s="111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3"/>
      <c r="AF10" s="114"/>
      <c r="AG10" s="112"/>
      <c r="AH10" s="112"/>
      <c r="AI10" s="113"/>
      <c r="AJ10" s="25"/>
      <c r="AK10" s="25"/>
      <c r="AL10" s="25"/>
      <c r="AM10" s="25"/>
      <c r="AN10" s="25"/>
    </row>
    <row r="11" spans="1:40" s="16" customFormat="1" ht="15" customHeight="1" x14ac:dyDescent="0.15">
      <c r="A11" s="75"/>
      <c r="B11" s="116"/>
      <c r="C11" s="113"/>
      <c r="D11" s="121"/>
      <c r="E11" s="112"/>
      <c r="F11" s="113"/>
      <c r="G11" s="116"/>
      <c r="H11" s="112"/>
      <c r="I11" s="113"/>
      <c r="J11" s="114"/>
      <c r="K11" s="112"/>
      <c r="L11" s="112"/>
      <c r="M11" s="112"/>
      <c r="N11" s="112"/>
      <c r="O11" s="112"/>
      <c r="P11" s="113"/>
      <c r="Q11" s="111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3"/>
      <c r="AF11" s="114"/>
      <c r="AG11" s="112"/>
      <c r="AH11" s="112"/>
      <c r="AI11" s="113"/>
      <c r="AJ11" s="25"/>
      <c r="AK11" s="25"/>
      <c r="AL11" s="25"/>
      <c r="AM11" s="25"/>
      <c r="AN11" s="25"/>
    </row>
    <row r="12" spans="1:40" s="16" customFormat="1" ht="15" customHeight="1" x14ac:dyDescent="0.15">
      <c r="A12" s="75"/>
      <c r="B12" s="116"/>
      <c r="C12" s="113"/>
      <c r="D12" s="121"/>
      <c r="E12" s="112"/>
      <c r="F12" s="113"/>
      <c r="G12" s="116"/>
      <c r="H12" s="112"/>
      <c r="I12" s="113"/>
      <c r="J12" s="114"/>
      <c r="K12" s="112"/>
      <c r="L12" s="112"/>
      <c r="M12" s="112"/>
      <c r="N12" s="112"/>
      <c r="O12" s="112"/>
      <c r="P12" s="113"/>
      <c r="Q12" s="111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3"/>
      <c r="AF12" s="114"/>
      <c r="AG12" s="112"/>
      <c r="AH12" s="112"/>
      <c r="AI12" s="113"/>
      <c r="AJ12" s="25"/>
      <c r="AK12" s="25"/>
      <c r="AL12" s="25"/>
      <c r="AM12" s="25"/>
      <c r="AN12" s="25"/>
    </row>
    <row r="13" spans="1:40" s="16" customFormat="1" ht="15" customHeight="1" x14ac:dyDescent="0.15">
      <c r="A13" s="75"/>
      <c r="B13" s="116"/>
      <c r="C13" s="113"/>
      <c r="D13" s="121"/>
      <c r="E13" s="112"/>
      <c r="F13" s="113"/>
      <c r="G13" s="116"/>
      <c r="H13" s="112"/>
      <c r="I13" s="113"/>
      <c r="J13" s="114"/>
      <c r="K13" s="112"/>
      <c r="L13" s="112"/>
      <c r="M13" s="112"/>
      <c r="N13" s="112"/>
      <c r="O13" s="112"/>
      <c r="P13" s="113"/>
      <c r="Q13" s="111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3"/>
      <c r="AF13" s="114"/>
      <c r="AG13" s="112"/>
      <c r="AH13" s="112"/>
      <c r="AI13" s="113"/>
      <c r="AJ13" s="25"/>
      <c r="AK13" s="25"/>
      <c r="AL13" s="25"/>
      <c r="AM13" s="25"/>
      <c r="AN13" s="25"/>
    </row>
    <row r="14" spans="1:40" s="16" customFormat="1" ht="15" customHeight="1" x14ac:dyDescent="0.15">
      <c r="A14" s="75"/>
      <c r="B14" s="116"/>
      <c r="C14" s="113"/>
      <c r="D14" s="121"/>
      <c r="E14" s="112"/>
      <c r="F14" s="113"/>
      <c r="G14" s="116"/>
      <c r="H14" s="112"/>
      <c r="I14" s="113"/>
      <c r="J14" s="114"/>
      <c r="K14" s="112"/>
      <c r="L14" s="112"/>
      <c r="M14" s="112"/>
      <c r="N14" s="112"/>
      <c r="O14" s="112"/>
      <c r="P14" s="113"/>
      <c r="Q14" s="111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3"/>
      <c r="AF14" s="114"/>
      <c r="AG14" s="112"/>
      <c r="AH14" s="112"/>
      <c r="AI14" s="113"/>
      <c r="AJ14" s="25"/>
      <c r="AK14" s="25"/>
      <c r="AL14" s="25"/>
      <c r="AM14" s="25"/>
      <c r="AN14" s="25"/>
    </row>
    <row r="15" spans="1:40" s="16" customFormat="1" ht="15" customHeight="1" x14ac:dyDescent="0.15">
      <c r="A15" s="75"/>
      <c r="B15" s="116"/>
      <c r="C15" s="113"/>
      <c r="D15" s="121"/>
      <c r="E15" s="112"/>
      <c r="F15" s="113"/>
      <c r="G15" s="116"/>
      <c r="H15" s="112"/>
      <c r="I15" s="113"/>
      <c r="J15" s="114"/>
      <c r="K15" s="112"/>
      <c r="L15" s="112"/>
      <c r="M15" s="112"/>
      <c r="N15" s="112"/>
      <c r="O15" s="112"/>
      <c r="P15" s="113"/>
      <c r="Q15" s="111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3"/>
      <c r="AF15" s="114"/>
      <c r="AG15" s="112"/>
      <c r="AH15" s="112"/>
      <c r="AI15" s="113"/>
      <c r="AJ15" s="25"/>
      <c r="AK15" s="25"/>
      <c r="AL15" s="25"/>
      <c r="AM15" s="25"/>
      <c r="AN15" s="25"/>
    </row>
    <row r="16" spans="1:40" s="16" customFormat="1" ht="15" customHeight="1" x14ac:dyDescent="0.15">
      <c r="A16" s="75"/>
      <c r="B16" s="116"/>
      <c r="C16" s="113"/>
      <c r="D16" s="121"/>
      <c r="E16" s="112"/>
      <c r="F16" s="113"/>
      <c r="G16" s="116"/>
      <c r="H16" s="112"/>
      <c r="I16" s="113"/>
      <c r="J16" s="114"/>
      <c r="K16" s="112"/>
      <c r="L16" s="112"/>
      <c r="M16" s="112"/>
      <c r="N16" s="112"/>
      <c r="O16" s="112"/>
      <c r="P16" s="113"/>
      <c r="Q16" s="111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3"/>
      <c r="AF16" s="114"/>
      <c r="AG16" s="112"/>
      <c r="AH16" s="112"/>
      <c r="AI16" s="113"/>
      <c r="AJ16" s="25"/>
      <c r="AK16" s="25"/>
      <c r="AL16" s="25"/>
      <c r="AM16" s="25"/>
      <c r="AN16" s="25"/>
    </row>
    <row r="17" spans="1:40" s="16" customFormat="1" ht="15" customHeight="1" x14ac:dyDescent="0.15">
      <c r="A17" s="75"/>
      <c r="B17" s="116"/>
      <c r="C17" s="113"/>
      <c r="D17" s="121"/>
      <c r="E17" s="112"/>
      <c r="F17" s="113"/>
      <c r="G17" s="116"/>
      <c r="H17" s="112"/>
      <c r="I17" s="113"/>
      <c r="J17" s="114"/>
      <c r="K17" s="112"/>
      <c r="L17" s="112"/>
      <c r="M17" s="112"/>
      <c r="N17" s="112"/>
      <c r="O17" s="112"/>
      <c r="P17" s="113"/>
      <c r="Q17" s="111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3"/>
      <c r="AF17" s="114"/>
      <c r="AG17" s="112"/>
      <c r="AH17" s="112"/>
      <c r="AI17" s="113"/>
      <c r="AJ17" s="25"/>
      <c r="AK17" s="25"/>
      <c r="AL17" s="25"/>
      <c r="AM17" s="25"/>
      <c r="AN17" s="25"/>
    </row>
    <row r="18" spans="1:40" s="16" customFormat="1" ht="15" customHeight="1" x14ac:dyDescent="0.15">
      <c r="A18" s="75"/>
      <c r="B18" s="116"/>
      <c r="C18" s="113"/>
      <c r="D18" s="121"/>
      <c r="E18" s="112"/>
      <c r="F18" s="113"/>
      <c r="G18" s="116"/>
      <c r="H18" s="112"/>
      <c r="I18" s="113"/>
      <c r="J18" s="114"/>
      <c r="K18" s="112"/>
      <c r="L18" s="112"/>
      <c r="M18" s="112"/>
      <c r="N18" s="112"/>
      <c r="O18" s="112"/>
      <c r="P18" s="113"/>
      <c r="Q18" s="111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3"/>
      <c r="AF18" s="114"/>
      <c r="AG18" s="112"/>
      <c r="AH18" s="112"/>
      <c r="AI18" s="113"/>
      <c r="AJ18" s="25"/>
      <c r="AK18" s="25"/>
      <c r="AL18" s="25"/>
      <c r="AM18" s="25"/>
      <c r="AN18" s="25"/>
    </row>
    <row r="19" spans="1:40" s="16" customFormat="1" ht="15" customHeight="1" x14ac:dyDescent="0.15">
      <c r="A19" s="75"/>
      <c r="B19" s="116"/>
      <c r="C19" s="113"/>
      <c r="D19" s="121"/>
      <c r="E19" s="112"/>
      <c r="F19" s="113"/>
      <c r="G19" s="116"/>
      <c r="H19" s="112"/>
      <c r="I19" s="113"/>
      <c r="J19" s="114"/>
      <c r="K19" s="112"/>
      <c r="L19" s="112"/>
      <c r="M19" s="112"/>
      <c r="N19" s="112"/>
      <c r="O19" s="112"/>
      <c r="P19" s="113"/>
      <c r="Q19" s="111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3"/>
      <c r="AF19" s="114"/>
      <c r="AG19" s="112"/>
      <c r="AH19" s="112"/>
      <c r="AI19" s="113"/>
      <c r="AJ19" s="25"/>
      <c r="AK19" s="25"/>
      <c r="AL19" s="25"/>
      <c r="AM19" s="25"/>
      <c r="AN19" s="25"/>
    </row>
    <row r="20" spans="1:40" s="16" customFormat="1" ht="15" customHeight="1" x14ac:dyDescent="0.15">
      <c r="A20" s="75"/>
      <c r="B20" s="116"/>
      <c r="C20" s="113"/>
      <c r="D20" s="121"/>
      <c r="E20" s="112"/>
      <c r="F20" s="113"/>
      <c r="G20" s="116"/>
      <c r="H20" s="112"/>
      <c r="I20" s="113"/>
      <c r="J20" s="114"/>
      <c r="K20" s="112"/>
      <c r="L20" s="112"/>
      <c r="M20" s="112"/>
      <c r="N20" s="112"/>
      <c r="O20" s="112"/>
      <c r="P20" s="113"/>
      <c r="Q20" s="111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3"/>
      <c r="AF20" s="114"/>
      <c r="AG20" s="112"/>
      <c r="AH20" s="112"/>
      <c r="AI20" s="113"/>
      <c r="AJ20" s="25"/>
      <c r="AK20" s="25"/>
      <c r="AL20" s="25"/>
      <c r="AM20" s="25"/>
      <c r="AN20" s="25"/>
    </row>
    <row r="21" spans="1:40" s="16" customFormat="1" ht="15" customHeight="1" x14ac:dyDescent="0.15">
      <c r="A21" s="75"/>
      <c r="B21" s="116"/>
      <c r="C21" s="113"/>
      <c r="D21" s="121"/>
      <c r="E21" s="112"/>
      <c r="F21" s="113"/>
      <c r="G21" s="116"/>
      <c r="H21" s="112"/>
      <c r="I21" s="113"/>
      <c r="J21" s="114"/>
      <c r="K21" s="112"/>
      <c r="L21" s="112"/>
      <c r="M21" s="112"/>
      <c r="N21" s="112"/>
      <c r="O21" s="112"/>
      <c r="P21" s="113"/>
      <c r="Q21" s="111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3"/>
      <c r="AF21" s="114"/>
      <c r="AG21" s="112"/>
      <c r="AH21" s="112"/>
      <c r="AI21" s="113"/>
      <c r="AJ21" s="25"/>
      <c r="AK21" s="25"/>
      <c r="AL21" s="25"/>
      <c r="AM21" s="25"/>
      <c r="AN21" s="25"/>
    </row>
    <row r="22" spans="1:40" s="16" customFormat="1" ht="15" customHeight="1" x14ac:dyDescent="0.15">
      <c r="A22" s="75"/>
      <c r="B22" s="116"/>
      <c r="C22" s="113"/>
      <c r="D22" s="121"/>
      <c r="E22" s="112"/>
      <c r="F22" s="113"/>
      <c r="G22" s="116"/>
      <c r="H22" s="112"/>
      <c r="I22" s="113"/>
      <c r="J22" s="114"/>
      <c r="K22" s="112"/>
      <c r="L22" s="112"/>
      <c r="M22" s="112"/>
      <c r="N22" s="112"/>
      <c r="O22" s="112"/>
      <c r="P22" s="113"/>
      <c r="Q22" s="111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3"/>
      <c r="AF22" s="114"/>
      <c r="AG22" s="112"/>
      <c r="AH22" s="112"/>
      <c r="AI22" s="113"/>
      <c r="AJ22" s="25"/>
      <c r="AK22" s="25"/>
      <c r="AL22" s="25"/>
      <c r="AM22" s="25"/>
      <c r="AN22" s="25"/>
    </row>
    <row r="23" spans="1:40" s="16" customFormat="1" ht="15" customHeight="1" x14ac:dyDescent="0.15">
      <c r="A23" s="75"/>
      <c r="B23" s="116"/>
      <c r="C23" s="113"/>
      <c r="D23" s="121"/>
      <c r="E23" s="112"/>
      <c r="F23" s="113"/>
      <c r="G23" s="116"/>
      <c r="H23" s="112"/>
      <c r="I23" s="113"/>
      <c r="J23" s="114"/>
      <c r="K23" s="112"/>
      <c r="L23" s="112"/>
      <c r="M23" s="112"/>
      <c r="N23" s="112"/>
      <c r="O23" s="112"/>
      <c r="P23" s="113"/>
      <c r="Q23" s="111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3"/>
      <c r="AF23" s="114"/>
      <c r="AG23" s="112"/>
      <c r="AH23" s="112"/>
      <c r="AI23" s="113"/>
      <c r="AJ23" s="25"/>
      <c r="AK23" s="25"/>
      <c r="AL23" s="25"/>
      <c r="AM23" s="25"/>
      <c r="AN23" s="25"/>
    </row>
    <row r="24" spans="1:40" s="16" customFormat="1" ht="15" customHeight="1" x14ac:dyDescent="0.15">
      <c r="A24" s="75"/>
      <c r="B24" s="116"/>
      <c r="C24" s="113"/>
      <c r="D24" s="121"/>
      <c r="E24" s="112"/>
      <c r="F24" s="113"/>
      <c r="G24" s="116"/>
      <c r="H24" s="112"/>
      <c r="I24" s="113"/>
      <c r="J24" s="114"/>
      <c r="K24" s="112"/>
      <c r="L24" s="112"/>
      <c r="M24" s="112"/>
      <c r="N24" s="112"/>
      <c r="O24" s="112"/>
      <c r="P24" s="113"/>
      <c r="Q24" s="111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3"/>
      <c r="AF24" s="114"/>
      <c r="AG24" s="112"/>
      <c r="AH24" s="112"/>
      <c r="AI24" s="113"/>
      <c r="AJ24" s="25"/>
      <c r="AK24" s="25"/>
      <c r="AL24" s="25"/>
      <c r="AM24" s="25"/>
      <c r="AN24" s="25"/>
    </row>
    <row r="25" spans="1:40" s="16" customFormat="1" ht="15" customHeight="1" x14ac:dyDescent="0.15">
      <c r="A25" s="75"/>
      <c r="B25" s="116"/>
      <c r="C25" s="113"/>
      <c r="D25" s="121"/>
      <c r="E25" s="112"/>
      <c r="F25" s="113"/>
      <c r="G25" s="116"/>
      <c r="H25" s="112"/>
      <c r="I25" s="113"/>
      <c r="J25" s="114"/>
      <c r="K25" s="112"/>
      <c r="L25" s="112"/>
      <c r="M25" s="112"/>
      <c r="N25" s="112"/>
      <c r="O25" s="112"/>
      <c r="P25" s="113"/>
      <c r="Q25" s="111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3"/>
      <c r="AF25" s="114"/>
      <c r="AG25" s="112"/>
      <c r="AH25" s="112"/>
      <c r="AI25" s="113"/>
      <c r="AJ25" s="25"/>
      <c r="AK25" s="25"/>
      <c r="AL25" s="25"/>
      <c r="AM25" s="25"/>
      <c r="AN25" s="25"/>
    </row>
    <row r="26" spans="1:40" s="16" customFormat="1" ht="15" customHeight="1" x14ac:dyDescent="0.15">
      <c r="A26" s="75"/>
      <c r="B26" s="116"/>
      <c r="C26" s="113"/>
      <c r="D26" s="121"/>
      <c r="E26" s="112"/>
      <c r="F26" s="113"/>
      <c r="G26" s="116"/>
      <c r="H26" s="112"/>
      <c r="I26" s="113"/>
      <c r="J26" s="114"/>
      <c r="K26" s="112"/>
      <c r="L26" s="112"/>
      <c r="M26" s="112"/>
      <c r="N26" s="112"/>
      <c r="O26" s="112"/>
      <c r="P26" s="113"/>
      <c r="Q26" s="111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3"/>
      <c r="AF26" s="114"/>
      <c r="AG26" s="112"/>
      <c r="AH26" s="112"/>
      <c r="AI26" s="113"/>
      <c r="AJ26" s="25"/>
      <c r="AK26" s="25"/>
      <c r="AL26" s="25"/>
      <c r="AM26" s="25"/>
      <c r="AN26" s="25"/>
    </row>
    <row r="27" spans="1:40" s="16" customFormat="1" ht="15" customHeight="1" x14ac:dyDescent="0.15">
      <c r="A27" s="75"/>
      <c r="B27" s="116"/>
      <c r="C27" s="113"/>
      <c r="D27" s="121"/>
      <c r="E27" s="112"/>
      <c r="F27" s="113"/>
      <c r="G27" s="116"/>
      <c r="H27" s="112"/>
      <c r="I27" s="113"/>
      <c r="J27" s="114"/>
      <c r="K27" s="112"/>
      <c r="L27" s="112"/>
      <c r="M27" s="112"/>
      <c r="N27" s="112"/>
      <c r="O27" s="112"/>
      <c r="P27" s="113"/>
      <c r="Q27" s="111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3"/>
      <c r="AF27" s="114"/>
      <c r="AG27" s="112"/>
      <c r="AH27" s="112"/>
      <c r="AI27" s="113"/>
      <c r="AJ27" s="25"/>
      <c r="AK27" s="25"/>
      <c r="AL27" s="25"/>
      <c r="AM27" s="25"/>
      <c r="AN27" s="25"/>
    </row>
    <row r="28" spans="1:40" s="16" customFormat="1" ht="15" customHeight="1" x14ac:dyDescent="0.15">
      <c r="A28" s="75"/>
      <c r="B28" s="116"/>
      <c r="C28" s="113"/>
      <c r="D28" s="121"/>
      <c r="E28" s="112"/>
      <c r="F28" s="113"/>
      <c r="G28" s="116"/>
      <c r="H28" s="112"/>
      <c r="I28" s="113"/>
      <c r="J28" s="114"/>
      <c r="K28" s="112"/>
      <c r="L28" s="112"/>
      <c r="M28" s="112"/>
      <c r="N28" s="112"/>
      <c r="O28" s="112"/>
      <c r="P28" s="113"/>
      <c r="Q28" s="111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3"/>
      <c r="AF28" s="114"/>
      <c r="AG28" s="112"/>
      <c r="AH28" s="112"/>
      <c r="AI28" s="113"/>
      <c r="AJ28" s="25"/>
      <c r="AK28" s="25"/>
      <c r="AL28" s="25"/>
      <c r="AM28" s="25"/>
      <c r="AN28" s="25"/>
    </row>
    <row r="29" spans="1:40" s="16" customFormat="1" ht="15" customHeight="1" x14ac:dyDescent="0.15">
      <c r="A29" s="75"/>
      <c r="B29" s="116"/>
      <c r="C29" s="113"/>
      <c r="D29" s="121"/>
      <c r="E29" s="112"/>
      <c r="F29" s="113"/>
      <c r="G29" s="116"/>
      <c r="H29" s="112"/>
      <c r="I29" s="113"/>
      <c r="J29" s="114"/>
      <c r="K29" s="112"/>
      <c r="L29" s="112"/>
      <c r="M29" s="112"/>
      <c r="N29" s="112"/>
      <c r="O29" s="112"/>
      <c r="P29" s="113"/>
      <c r="Q29" s="111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3"/>
      <c r="AF29" s="114"/>
      <c r="AG29" s="112"/>
      <c r="AH29" s="112"/>
      <c r="AI29" s="113"/>
      <c r="AJ29" s="25"/>
      <c r="AK29" s="25"/>
      <c r="AL29" s="25"/>
      <c r="AM29" s="25"/>
      <c r="AN29" s="25"/>
    </row>
    <row r="30" spans="1:40" s="16" customFormat="1" ht="15" customHeight="1" x14ac:dyDescent="0.15">
      <c r="A30" s="75"/>
      <c r="B30" s="116"/>
      <c r="C30" s="113"/>
      <c r="D30" s="121"/>
      <c r="E30" s="112"/>
      <c r="F30" s="113"/>
      <c r="G30" s="116"/>
      <c r="H30" s="112"/>
      <c r="I30" s="113"/>
      <c r="J30" s="114"/>
      <c r="K30" s="112"/>
      <c r="L30" s="112"/>
      <c r="M30" s="112"/>
      <c r="N30" s="112"/>
      <c r="O30" s="112"/>
      <c r="P30" s="113"/>
      <c r="Q30" s="111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3"/>
      <c r="AF30" s="114"/>
      <c r="AG30" s="112"/>
      <c r="AH30" s="112"/>
      <c r="AI30" s="113"/>
      <c r="AJ30" s="25"/>
      <c r="AK30" s="25"/>
      <c r="AL30" s="25"/>
      <c r="AM30" s="25"/>
      <c r="AN30" s="25"/>
    </row>
    <row r="31" spans="1:40" s="16" customFormat="1" ht="15" customHeight="1" x14ac:dyDescent="0.15">
      <c r="A31" s="75"/>
      <c r="B31" s="116"/>
      <c r="C31" s="113"/>
      <c r="D31" s="121"/>
      <c r="E31" s="112"/>
      <c r="F31" s="113"/>
      <c r="G31" s="116"/>
      <c r="H31" s="112"/>
      <c r="I31" s="113"/>
      <c r="J31" s="114"/>
      <c r="K31" s="112"/>
      <c r="L31" s="112"/>
      <c r="M31" s="112"/>
      <c r="N31" s="112"/>
      <c r="O31" s="112"/>
      <c r="P31" s="113"/>
      <c r="Q31" s="111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3"/>
      <c r="AF31" s="114"/>
      <c r="AG31" s="112"/>
      <c r="AH31" s="112"/>
      <c r="AI31" s="113"/>
      <c r="AJ31" s="25"/>
      <c r="AK31" s="25"/>
      <c r="AL31" s="25"/>
      <c r="AM31" s="25"/>
      <c r="AN31" s="25"/>
    </row>
    <row r="32" spans="1:40" s="16" customFormat="1" ht="15" customHeight="1" x14ac:dyDescent="0.15">
      <c r="A32" s="75"/>
      <c r="B32" s="116"/>
      <c r="C32" s="113"/>
      <c r="D32" s="121"/>
      <c r="E32" s="112"/>
      <c r="F32" s="113"/>
      <c r="G32" s="116"/>
      <c r="H32" s="112"/>
      <c r="I32" s="113"/>
      <c r="J32" s="114"/>
      <c r="K32" s="112"/>
      <c r="L32" s="112"/>
      <c r="M32" s="112"/>
      <c r="N32" s="112"/>
      <c r="O32" s="112"/>
      <c r="P32" s="113"/>
      <c r="Q32" s="111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3"/>
      <c r="AF32" s="114"/>
      <c r="AG32" s="112"/>
      <c r="AH32" s="112"/>
      <c r="AI32" s="113"/>
      <c r="AJ32" s="25"/>
      <c r="AK32" s="25"/>
      <c r="AL32" s="25"/>
      <c r="AM32" s="25"/>
      <c r="AN32" s="25"/>
    </row>
    <row r="33" spans="1:40" s="16" customFormat="1" ht="15" customHeight="1" x14ac:dyDescent="0.15">
      <c r="A33" s="75"/>
      <c r="B33" s="116"/>
      <c r="C33" s="113"/>
      <c r="D33" s="121"/>
      <c r="E33" s="112"/>
      <c r="F33" s="113"/>
      <c r="G33" s="116"/>
      <c r="H33" s="112"/>
      <c r="I33" s="113"/>
      <c r="J33" s="114"/>
      <c r="K33" s="112"/>
      <c r="L33" s="112"/>
      <c r="M33" s="112"/>
      <c r="N33" s="112"/>
      <c r="O33" s="112"/>
      <c r="P33" s="113"/>
      <c r="Q33" s="111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3"/>
      <c r="AF33" s="114"/>
      <c r="AG33" s="112"/>
      <c r="AH33" s="112"/>
      <c r="AI33" s="113"/>
      <c r="AJ33" s="25"/>
      <c r="AK33" s="25"/>
      <c r="AL33" s="25"/>
      <c r="AM33" s="25"/>
      <c r="AN33" s="25"/>
    </row>
    <row r="34" spans="1:40" s="16" customFormat="1" ht="15" customHeight="1" x14ac:dyDescent="0.15">
      <c r="A34" s="76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8"/>
      <c r="AJ34" s="25"/>
      <c r="AK34" s="25"/>
      <c r="AL34" s="25"/>
      <c r="AM34" s="25"/>
      <c r="AN34" s="25"/>
    </row>
    <row r="35" spans="1:40" x14ac:dyDescent="0.15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I35" s="98"/>
      <c r="AJ35" s="98"/>
      <c r="AK35" s="98"/>
      <c r="AL35" s="98"/>
      <c r="AM35" s="98"/>
      <c r="AN35" s="98"/>
    </row>
    <row r="36" spans="1:40" x14ac:dyDescent="0.15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  <c r="AD36" s="98"/>
      <c r="AE36" s="98"/>
      <c r="AF36" s="98"/>
      <c r="AG36" s="98"/>
      <c r="AH36" s="98"/>
      <c r="AI36" s="98"/>
      <c r="AJ36" s="98"/>
      <c r="AK36" s="98"/>
      <c r="AL36" s="98"/>
      <c r="AM36" s="98"/>
      <c r="AN36" s="98"/>
    </row>
    <row r="37" spans="1:40" x14ac:dyDescent="0.15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  <c r="AD37" s="98"/>
      <c r="AE37" s="98"/>
      <c r="AF37" s="98"/>
      <c r="AG37" s="98"/>
      <c r="AH37" s="98"/>
      <c r="AI37" s="98"/>
      <c r="AJ37" s="98"/>
      <c r="AK37" s="98"/>
      <c r="AL37" s="98"/>
      <c r="AM37" s="98"/>
      <c r="AN37" s="98"/>
    </row>
    <row r="38" spans="1:40" x14ac:dyDescent="0.1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I38" s="98"/>
      <c r="AJ38" s="98"/>
      <c r="AK38" s="98"/>
      <c r="AL38" s="98"/>
      <c r="AM38" s="98"/>
      <c r="AN38" s="98"/>
    </row>
    <row r="39" spans="1:40" x14ac:dyDescent="0.15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  <c r="AD39" s="98"/>
      <c r="AE39" s="98"/>
      <c r="AF39" s="98"/>
      <c r="AG39" s="98"/>
      <c r="AH39" s="98"/>
      <c r="AI39" s="98"/>
      <c r="AJ39" s="98"/>
      <c r="AK39" s="98"/>
      <c r="AL39" s="98"/>
      <c r="AM39" s="98"/>
      <c r="AN39" s="98"/>
    </row>
    <row r="40" spans="1:40" x14ac:dyDescent="0.15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  <c r="AD40" s="98"/>
      <c r="AE40" s="98"/>
      <c r="AF40" s="98"/>
      <c r="AG40" s="98"/>
      <c r="AH40" s="98"/>
      <c r="AI40" s="98"/>
      <c r="AJ40" s="98"/>
      <c r="AK40" s="98"/>
      <c r="AL40" s="98"/>
      <c r="AM40" s="98"/>
      <c r="AN40" s="98"/>
    </row>
    <row r="41" spans="1:40" x14ac:dyDescent="0.15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  <c r="AH41" s="98"/>
      <c r="AI41" s="98"/>
      <c r="AJ41" s="98"/>
      <c r="AK41" s="98"/>
      <c r="AL41" s="98"/>
      <c r="AM41" s="98"/>
      <c r="AN41" s="98"/>
    </row>
    <row r="42" spans="1:40" x14ac:dyDescent="0.15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</row>
  </sheetData>
  <mergeCells count="179"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D14:F14"/>
    <mergeCell ref="D29:F29"/>
    <mergeCell ref="D23:F23"/>
    <mergeCell ref="G9:I9"/>
    <mergeCell ref="Q32:AE32"/>
    <mergeCell ref="Q13:AE13"/>
    <mergeCell ref="Q7:AE7"/>
    <mergeCell ref="Q16:AE16"/>
    <mergeCell ref="B24:C24"/>
    <mergeCell ref="J27:P27"/>
    <mergeCell ref="B18:C18"/>
    <mergeCell ref="D11:F11"/>
    <mergeCell ref="J31:P31"/>
    <mergeCell ref="B33:C33"/>
    <mergeCell ref="AA2:AB2"/>
    <mergeCell ref="AF15:AI15"/>
    <mergeCell ref="O1:R3"/>
    <mergeCell ref="J20:P20"/>
    <mergeCell ref="A2:D2"/>
    <mergeCell ref="Q18:AE18"/>
    <mergeCell ref="B26:C26"/>
    <mergeCell ref="Q24:AE24"/>
    <mergeCell ref="B32:C32"/>
    <mergeCell ref="J11:P11"/>
    <mergeCell ref="AF12:AI12"/>
    <mergeCell ref="Q8:AE8"/>
    <mergeCell ref="AG2:AI2"/>
    <mergeCell ref="B16:C16"/>
    <mergeCell ref="D27:F27"/>
    <mergeCell ref="G28:I28"/>
    <mergeCell ref="J22:P22"/>
    <mergeCell ref="B25:C25"/>
    <mergeCell ref="AF32:AI32"/>
    <mergeCell ref="AF26:AI26"/>
    <mergeCell ref="D17:F17"/>
    <mergeCell ref="Q10:AE10"/>
    <mergeCell ref="J12:P12"/>
    <mergeCell ref="Q29:AE29"/>
    <mergeCell ref="AF17:AI17"/>
    <mergeCell ref="AC2:AF2"/>
    <mergeCell ref="B27:C27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D7:F7"/>
    <mergeCell ref="AG3:AI3"/>
    <mergeCell ref="D8:F8"/>
    <mergeCell ref="Q23:AE23"/>
    <mergeCell ref="B23:C23"/>
    <mergeCell ref="B8:C8"/>
    <mergeCell ref="B10:C10"/>
    <mergeCell ref="A3:D3"/>
    <mergeCell ref="B13:C13"/>
    <mergeCell ref="G16:I16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D20:F20"/>
    <mergeCell ref="G21:I21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Q33:AE33"/>
    <mergeCell ref="AF21:AI21"/>
    <mergeCell ref="AA1:AB1"/>
    <mergeCell ref="G18:I18"/>
    <mergeCell ref="G33:I33"/>
    <mergeCell ref="J18:P18"/>
    <mergeCell ref="J33:P33"/>
    <mergeCell ref="AF19:AI19"/>
    <mergeCell ref="Q31:AE31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D10:F10"/>
    <mergeCell ref="G11:I11"/>
    <mergeCell ref="Q25:AE25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I50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7" customWidth="1"/>
    <col min="17" max="17" width="4.83203125" style="50" customWidth="1"/>
    <col min="18" max="33" width="4.83203125" style="47" customWidth="1"/>
    <col min="34" max="34" width="4.83203125" style="50" customWidth="1"/>
    <col min="35" max="35" width="4.83203125" style="47" customWidth="1"/>
    <col min="36" max="16384" width="4.83203125" style="47"/>
  </cols>
  <sheetData>
    <row r="1" spans="1:35" s="92" customFormat="1" ht="12" customHeight="1" x14ac:dyDescent="0.15">
      <c r="A1" s="115" t="s">
        <v>4</v>
      </c>
      <c r="B1" s="112"/>
      <c r="C1" s="112"/>
      <c r="D1" s="113"/>
      <c r="E1" s="120" t="str">
        <f ca="1">IF(INDIRECT("変更履歴!E1")&lt;&gt;"",INDIRECT("変更履歴!E1"),"")</f>
        <v/>
      </c>
      <c r="F1" s="112"/>
      <c r="G1" s="112"/>
      <c r="H1" s="112"/>
      <c r="I1" s="112"/>
      <c r="J1" s="112"/>
      <c r="K1" s="112"/>
      <c r="L1" s="112"/>
      <c r="M1" s="112"/>
      <c r="N1" s="113"/>
      <c r="O1" s="133" t="s">
        <v>5</v>
      </c>
      <c r="P1" s="126"/>
      <c r="Q1" s="126"/>
      <c r="R1" s="127"/>
      <c r="S1" s="143" t="str">
        <f ca="1">IF(INDIRECT("変更履歴!S1")&lt;&gt;"",INDIRECT("変更履歴!S1"),"")</f>
        <v>システム機能設計書(バッチ)</v>
      </c>
      <c r="T1" s="126"/>
      <c r="U1" s="126"/>
      <c r="V1" s="126"/>
      <c r="W1" s="126"/>
      <c r="X1" s="126"/>
      <c r="Y1" s="126"/>
      <c r="Z1" s="127"/>
      <c r="AA1" s="115" t="s">
        <v>6</v>
      </c>
      <c r="AB1" s="113"/>
      <c r="AC1" s="124" t="str">
        <f ca="1">IF(INDIRECT("変更履歴!AC1")&lt;&gt;"",INDIRECT("変更履歴!AC1"),"")</f>
        <v/>
      </c>
      <c r="AD1" s="112"/>
      <c r="AE1" s="112"/>
      <c r="AF1" s="113"/>
      <c r="AG1" s="142" t="str">
        <f ca="1">IF(INDIRECT("変更履歴!AG1")&lt;&gt;"",INDIRECT("変更履歴!AG1"),"")</f>
        <v/>
      </c>
      <c r="AH1" s="112"/>
      <c r="AI1" s="113"/>
    </row>
    <row r="2" spans="1:35" s="92" customFormat="1" ht="12" customHeight="1" x14ac:dyDescent="0.15">
      <c r="A2" s="115" t="s">
        <v>7</v>
      </c>
      <c r="B2" s="112"/>
      <c r="C2" s="112"/>
      <c r="D2" s="113"/>
      <c r="E2" s="120" t="str">
        <f ca="1">IF(INDIRECT("変更履歴!E2")&lt;&gt;"",INDIRECT("変更履歴!E2"),"")</f>
        <v/>
      </c>
      <c r="F2" s="112"/>
      <c r="G2" s="112"/>
      <c r="H2" s="112"/>
      <c r="I2" s="112"/>
      <c r="J2" s="112"/>
      <c r="K2" s="112"/>
      <c r="L2" s="112"/>
      <c r="M2" s="112"/>
      <c r="N2" s="113"/>
      <c r="O2" s="134"/>
      <c r="P2" s="135"/>
      <c r="Q2" s="135"/>
      <c r="R2" s="136"/>
      <c r="S2" s="134"/>
      <c r="T2" s="135"/>
      <c r="U2" s="135"/>
      <c r="V2" s="135"/>
      <c r="W2" s="135"/>
      <c r="X2" s="135"/>
      <c r="Y2" s="135"/>
      <c r="Z2" s="136"/>
      <c r="AA2" s="115" t="s">
        <v>8</v>
      </c>
      <c r="AB2" s="113"/>
      <c r="AC2" s="124" t="str">
        <f ca="1">IF(INDIRECT("変更履歴!AC2")&lt;&gt;"",INDIRECT("変更履歴!AC2"),"")</f>
        <v/>
      </c>
      <c r="AD2" s="112"/>
      <c r="AE2" s="112"/>
      <c r="AF2" s="113"/>
      <c r="AG2" s="142" t="str">
        <f ca="1">IF(INDIRECT("変更履歴!AG2")&lt;&gt;"",INDIRECT("変更履歴!AG2"),"")</f>
        <v/>
      </c>
      <c r="AH2" s="112"/>
      <c r="AI2" s="113"/>
    </row>
    <row r="3" spans="1:35" s="92" customFormat="1" ht="12" customHeight="1" x14ac:dyDescent="0.15">
      <c r="A3" s="122" t="s">
        <v>9</v>
      </c>
      <c r="B3" s="112"/>
      <c r="C3" s="112"/>
      <c r="D3" s="113"/>
      <c r="E3" s="120" t="str">
        <f ca="1">IF(INDIRECT("変更履歴!E3")&lt;&gt;"",INDIRECT("変更履歴!E3"),"")</f>
        <v/>
      </c>
      <c r="F3" s="112"/>
      <c r="G3" s="112"/>
      <c r="H3" s="112"/>
      <c r="I3" s="112"/>
      <c r="J3" s="112"/>
      <c r="K3" s="112"/>
      <c r="L3" s="112"/>
      <c r="M3" s="112"/>
      <c r="N3" s="113"/>
      <c r="O3" s="137"/>
      <c r="P3" s="138"/>
      <c r="Q3" s="138"/>
      <c r="R3" s="139"/>
      <c r="S3" s="137"/>
      <c r="T3" s="138"/>
      <c r="U3" s="138"/>
      <c r="V3" s="138"/>
      <c r="W3" s="138"/>
      <c r="X3" s="138"/>
      <c r="Y3" s="138"/>
      <c r="Z3" s="139"/>
      <c r="AA3" s="122"/>
      <c r="AB3" s="113"/>
      <c r="AC3" s="124" t="str">
        <f ca="1">IF(INDIRECT("変更履歴!AC3")&lt;&gt;"",INDIRECT("変更履歴!AC3"),"")</f>
        <v/>
      </c>
      <c r="AD3" s="112"/>
      <c r="AE3" s="112"/>
      <c r="AF3" s="113"/>
      <c r="AG3" s="142" t="str">
        <f ca="1">IF(INDIRECT("変更履歴!AG3")&lt;&gt;"",INDIRECT("変更履歴!AG3"),"")</f>
        <v/>
      </c>
      <c r="AH3" s="112"/>
      <c r="AI3" s="113"/>
    </row>
    <row r="4" spans="1:35" s="67" customFormat="1" ht="19.5" customHeight="1" x14ac:dyDescent="0.1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35"/>
      <c r="AD4" s="98"/>
      <c r="AE4" s="98"/>
      <c r="AF4" s="98"/>
      <c r="AG4" s="98"/>
      <c r="AH4" s="98"/>
      <c r="AI4" s="98"/>
    </row>
    <row r="5" spans="1:35" s="67" customFormat="1" ht="15" customHeight="1" x14ac:dyDescent="0.2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34" t="s">
        <v>18</v>
      </c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35"/>
      <c r="AD5" s="98"/>
      <c r="AE5" s="98"/>
      <c r="AF5" s="98"/>
      <c r="AG5" s="98"/>
      <c r="AH5" s="98"/>
      <c r="AI5" s="98"/>
    </row>
    <row r="6" spans="1:35" s="67" customFormat="1" ht="15" customHeight="1" x14ac:dyDescent="0.2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34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35"/>
      <c r="AD6" s="98"/>
      <c r="AE6" s="98"/>
      <c r="AF6" s="98"/>
      <c r="AG6" s="98"/>
      <c r="AH6" s="98"/>
      <c r="AI6" s="98"/>
    </row>
    <row r="7" spans="1:35" ht="15" customHeight="1" x14ac:dyDescent="0.15">
      <c r="A7" s="98"/>
      <c r="B7" s="36" t="s">
        <v>19</v>
      </c>
      <c r="C7" s="36"/>
      <c r="D7" s="98"/>
      <c r="E7" s="98"/>
      <c r="F7" s="98"/>
      <c r="G7" s="98"/>
      <c r="H7" s="98"/>
      <c r="I7" s="98"/>
      <c r="J7" s="98"/>
      <c r="K7" s="98"/>
      <c r="L7" s="98"/>
      <c r="M7" s="98"/>
      <c r="N7" s="76"/>
      <c r="O7" s="98"/>
      <c r="P7" s="35"/>
      <c r="Q7" s="98"/>
      <c r="R7" s="35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  <c r="AD7" s="98"/>
      <c r="AE7" s="98"/>
      <c r="AF7" s="98"/>
      <c r="AG7" s="35"/>
      <c r="AH7" s="39"/>
      <c r="AI7" s="98"/>
    </row>
    <row r="8" spans="1:35" ht="15" customHeight="1" x14ac:dyDescent="0.15">
      <c r="A8" s="98"/>
      <c r="B8" s="36"/>
      <c r="C8" s="36" t="s">
        <v>20</v>
      </c>
      <c r="D8" s="98"/>
      <c r="E8" s="98"/>
      <c r="F8" s="98"/>
      <c r="G8" s="98"/>
      <c r="H8" s="98"/>
      <c r="I8" s="98"/>
      <c r="J8" s="98"/>
      <c r="K8" s="98"/>
      <c r="L8" s="98"/>
      <c r="M8" s="98"/>
      <c r="N8" s="76"/>
      <c r="O8" s="98"/>
      <c r="P8" s="35"/>
      <c r="Q8" s="98"/>
      <c r="R8" s="35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  <c r="AD8" s="98"/>
      <c r="AE8" s="98"/>
      <c r="AF8" s="35"/>
      <c r="AG8" s="35"/>
      <c r="AH8" s="39"/>
      <c r="AI8" s="98"/>
    </row>
    <row r="9" spans="1:35" ht="15" customHeight="1" x14ac:dyDescent="0.15">
      <c r="A9" s="98"/>
      <c r="B9" s="98"/>
      <c r="C9" t="s">
        <v>21</v>
      </c>
      <c r="D9" s="98"/>
      <c r="E9" s="98"/>
      <c r="F9" s="98"/>
      <c r="G9" s="98"/>
      <c r="H9" s="98"/>
      <c r="I9" s="98"/>
      <c r="J9" s="98"/>
      <c r="K9" s="98"/>
      <c r="L9" s="98"/>
      <c r="M9" s="98"/>
      <c r="N9" s="76"/>
      <c r="O9" s="98"/>
      <c r="P9" s="35"/>
      <c r="Q9" s="98"/>
      <c r="R9" s="35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39"/>
      <c r="AI9" s="98"/>
    </row>
    <row r="10" spans="1:35" ht="15" customHeight="1" x14ac:dyDescent="0.15">
      <c r="A10" s="98"/>
      <c r="B10" s="98"/>
      <c r="C10" s="36" t="s">
        <v>22</v>
      </c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76"/>
      <c r="O10" s="98"/>
      <c r="P10" s="35"/>
      <c r="Q10" s="98"/>
      <c r="R10" s="35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39"/>
      <c r="AI10" s="98"/>
    </row>
    <row r="11" spans="1:35" ht="15" customHeight="1" x14ac:dyDescent="0.15">
      <c r="A11" s="98"/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76"/>
      <c r="O11" s="98"/>
      <c r="P11" s="35"/>
      <c r="Q11" s="98"/>
      <c r="R11" s="35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35"/>
      <c r="AH11" s="39"/>
      <c r="AI11" s="98"/>
    </row>
    <row r="12" spans="1:35" ht="15" customHeight="1" x14ac:dyDescent="0.15">
      <c r="A12" s="98"/>
      <c r="B12" s="36" t="s">
        <v>23</v>
      </c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76"/>
      <c r="O12" s="98"/>
      <c r="P12" s="35"/>
      <c r="Q12" s="98"/>
      <c r="R12" s="35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35"/>
      <c r="AH12" s="39"/>
      <c r="AI12" s="98"/>
    </row>
    <row r="13" spans="1:35" ht="15" customHeight="1" x14ac:dyDescent="0.15">
      <c r="A13" s="98"/>
      <c r="B13" s="98"/>
      <c r="C13" t="s">
        <v>24</v>
      </c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76"/>
      <c r="O13" s="98"/>
      <c r="P13" s="35"/>
      <c r="Q13" s="98"/>
      <c r="R13" s="35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35"/>
      <c r="AH13" s="39"/>
      <c r="AI13" s="98"/>
    </row>
    <row r="14" spans="1:35" ht="15" customHeight="1" x14ac:dyDescent="0.15">
      <c r="A14" s="98"/>
      <c r="B14" s="98"/>
      <c r="C14" t="s">
        <v>25</v>
      </c>
      <c r="I14" s="98"/>
      <c r="J14" s="98"/>
      <c r="K14" s="98"/>
      <c r="L14" s="98"/>
      <c r="M14" s="98"/>
      <c r="N14" s="98"/>
      <c r="O14" s="98"/>
      <c r="P14" s="98"/>
      <c r="Q14" s="37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35"/>
      <c r="AH14" s="39"/>
      <c r="AI14" s="98"/>
    </row>
    <row r="15" spans="1:35" ht="15" customHeight="1" x14ac:dyDescent="0.15">
      <c r="A15" s="98"/>
      <c r="B15" s="98"/>
      <c r="C15" t="s">
        <v>26</v>
      </c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37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35"/>
      <c r="AH15" s="39"/>
      <c r="AI15" s="98"/>
    </row>
    <row r="16" spans="1:35" ht="15" customHeight="1" x14ac:dyDescent="0.15">
      <c r="A16" s="98"/>
      <c r="B16" s="36"/>
      <c r="C16" t="s">
        <v>27</v>
      </c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76"/>
      <c r="O16" s="98"/>
      <c r="P16" s="35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35"/>
      <c r="AH16" s="39"/>
      <c r="AI16" s="98"/>
    </row>
    <row r="17" spans="1:35" ht="15" customHeight="1" x14ac:dyDescent="0.15">
      <c r="A17" s="98"/>
      <c r="B17" s="36"/>
      <c r="C17" t="s">
        <v>28</v>
      </c>
      <c r="H17" s="98"/>
      <c r="I17" s="98"/>
      <c r="J17" s="98"/>
      <c r="K17" s="98"/>
      <c r="L17" s="98"/>
      <c r="M17" s="98"/>
      <c r="N17" s="98"/>
      <c r="O17" s="98"/>
      <c r="P17" s="35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35"/>
      <c r="AH17" s="39"/>
      <c r="AI17" s="98"/>
    </row>
    <row r="18" spans="1:35" ht="15" customHeight="1" x14ac:dyDescent="0.15">
      <c r="A18" s="98"/>
      <c r="B18" s="98"/>
      <c r="C18" t="s">
        <v>29</v>
      </c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35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35"/>
      <c r="AH18" s="39"/>
      <c r="AI18" s="98"/>
    </row>
    <row r="19" spans="1:35" ht="15" customHeight="1" x14ac:dyDescent="0.15">
      <c r="A19" s="98"/>
      <c r="B19" s="98"/>
      <c r="C19" t="s">
        <v>30</v>
      </c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35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35"/>
      <c r="AH19" s="39"/>
      <c r="AI19" s="98"/>
    </row>
    <row r="20" spans="1:35" ht="15" customHeight="1" x14ac:dyDescent="0.15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35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35"/>
      <c r="AH20" s="39"/>
      <c r="AI20" s="98"/>
    </row>
    <row r="21" spans="1:35" ht="15" customHeight="1" x14ac:dyDescent="0.15">
      <c r="A21" s="98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35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35"/>
      <c r="AH21" s="39"/>
      <c r="AI21" s="98"/>
    </row>
    <row r="22" spans="1:35" ht="15" customHeight="1" x14ac:dyDescent="0.15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35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35"/>
      <c r="AH22" s="39"/>
      <c r="AI22" s="98"/>
    </row>
    <row r="23" spans="1:35" ht="15" customHeight="1" x14ac:dyDescent="0.15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35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35"/>
      <c r="AH23" s="39"/>
      <c r="AI23" s="98"/>
    </row>
    <row r="24" spans="1:35" ht="15" customHeight="1" x14ac:dyDescent="0.15">
      <c r="A24" s="98"/>
      <c r="B24" s="37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76"/>
      <c r="O24" s="98"/>
      <c r="P24" s="35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35"/>
      <c r="AH24" s="39"/>
      <c r="AI24" s="98"/>
    </row>
    <row r="25" spans="1:35" ht="15" customHeight="1" x14ac:dyDescent="0.15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35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35"/>
      <c r="AH25" s="39"/>
      <c r="AI25" s="98"/>
    </row>
    <row r="26" spans="1:35" ht="15" customHeight="1" x14ac:dyDescent="0.15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35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35"/>
      <c r="AH26" s="39"/>
      <c r="AI26" s="98"/>
    </row>
    <row r="27" spans="1:35" ht="15" customHeight="1" x14ac:dyDescent="0.15">
      <c r="A27" s="98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35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  <c r="AD27" s="98"/>
      <c r="AE27" s="98"/>
      <c r="AF27" s="98"/>
      <c r="AG27" s="35"/>
      <c r="AH27" s="39"/>
      <c r="AI27" s="98"/>
    </row>
    <row r="28" spans="1:35" ht="15" customHeight="1" x14ac:dyDescent="0.15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35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  <c r="AD28" s="98"/>
      <c r="AE28" s="98"/>
      <c r="AF28" s="98"/>
      <c r="AG28" s="35"/>
      <c r="AH28" s="39"/>
      <c r="AI28" s="98"/>
    </row>
    <row r="29" spans="1:35" ht="15" customHeight="1" x14ac:dyDescent="0.15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76"/>
      <c r="O29" s="98"/>
      <c r="P29" s="35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35"/>
      <c r="AH29" s="39"/>
      <c r="AI29" s="98"/>
    </row>
    <row r="30" spans="1:35" ht="15" customHeight="1" x14ac:dyDescent="0.15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35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35"/>
      <c r="AH30" s="39"/>
      <c r="AI30" s="98"/>
    </row>
    <row r="31" spans="1:35" ht="15" customHeight="1" x14ac:dyDescent="0.15">
      <c r="A31" s="41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35"/>
      <c r="Q31" s="98"/>
      <c r="R31" s="98"/>
      <c r="S31" s="98"/>
      <c r="T31" s="98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38"/>
      <c r="AH31" s="46"/>
      <c r="AI31" s="41"/>
    </row>
    <row r="32" spans="1:35" ht="15" customHeight="1" x14ac:dyDescent="0.15">
      <c r="A32" s="41"/>
      <c r="B32" s="98"/>
      <c r="C32" s="35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35"/>
      <c r="Q32" s="39"/>
      <c r="R32" s="98"/>
      <c r="S32" s="40"/>
      <c r="T32" s="98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38"/>
      <c r="AH32" s="46"/>
      <c r="AI32" s="41"/>
    </row>
    <row r="33" spans="1:35" ht="15" customHeight="1" x14ac:dyDescent="0.15">
      <c r="A33" s="41"/>
      <c r="B33" s="41"/>
      <c r="C33" s="98"/>
      <c r="D33" s="41"/>
      <c r="E33" s="41"/>
      <c r="F33" s="41"/>
      <c r="G33" s="41"/>
      <c r="H33" s="41"/>
      <c r="I33" s="41"/>
      <c r="J33" s="41"/>
      <c r="K33" s="42"/>
      <c r="L33" s="41"/>
      <c r="M33" s="41"/>
      <c r="N33" s="41"/>
      <c r="O33" s="41"/>
      <c r="P33" s="43"/>
      <c r="Q33" s="39"/>
      <c r="R33" s="41"/>
      <c r="S33" s="44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38"/>
      <c r="AH33" s="46"/>
      <c r="AI33" s="41"/>
    </row>
    <row r="34" spans="1:35" ht="15" customHeight="1" x14ac:dyDescent="0.15">
      <c r="A34" s="41"/>
      <c r="B34" s="41"/>
      <c r="C34" s="98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3"/>
      <c r="Q34" s="39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38"/>
      <c r="AH34" s="46"/>
      <c r="AI34" s="41"/>
    </row>
    <row r="35" spans="1:35" ht="15" customHeight="1" x14ac:dyDescent="0.15">
      <c r="A35" s="41"/>
      <c r="B35" s="41"/>
      <c r="C35" s="98"/>
      <c r="D35" s="41"/>
      <c r="E35" s="41"/>
      <c r="F35" s="41"/>
      <c r="G35" s="41"/>
      <c r="H35" s="41"/>
      <c r="I35" s="41"/>
      <c r="J35" s="41"/>
      <c r="K35" s="42"/>
      <c r="L35" s="41"/>
      <c r="M35" s="41"/>
      <c r="N35" s="41"/>
      <c r="O35" s="41"/>
      <c r="P35" s="43"/>
      <c r="Q35" s="39"/>
      <c r="R35" s="41"/>
      <c r="S35" s="44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38"/>
      <c r="AH35" s="46"/>
      <c r="AI35" s="41"/>
    </row>
    <row r="36" spans="1:35" ht="15" customHeight="1" x14ac:dyDescent="0.15">
      <c r="A36" s="41"/>
      <c r="B36" s="41"/>
      <c r="C36" s="98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3"/>
      <c r="Q36" s="39"/>
      <c r="R36" s="41"/>
      <c r="S36" s="41"/>
      <c r="T36" s="41"/>
      <c r="U36" s="45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38"/>
      <c r="AH36" s="46"/>
      <c r="AI36" s="41"/>
    </row>
    <row r="37" spans="1:35" ht="15" customHeight="1" x14ac:dyDescent="0.15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3"/>
      <c r="Q37" s="46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6"/>
      <c r="AI37" s="41"/>
    </row>
    <row r="38" spans="1:35" ht="15" customHeight="1" x14ac:dyDescent="0.15">
      <c r="P38" s="49"/>
      <c r="U38" s="48"/>
      <c r="AG38" s="51"/>
    </row>
    <row r="39" spans="1:35" ht="15" customHeight="1" x14ac:dyDescent="0.15">
      <c r="U39" s="48"/>
      <c r="AF39" s="51"/>
      <c r="AG39" s="49"/>
    </row>
    <row r="40" spans="1:35" ht="15" customHeight="1" x14ac:dyDescent="0.15">
      <c r="T40" s="48"/>
      <c r="AF40" s="51"/>
      <c r="AG40" s="51"/>
    </row>
    <row r="41" spans="1:35" ht="15" customHeight="1" x14ac:dyDescent="0.15">
      <c r="AG41" s="49"/>
    </row>
    <row r="42" spans="1:35" ht="15" customHeight="1" x14ac:dyDescent="0.15">
      <c r="AG42" s="49"/>
    </row>
    <row r="43" spans="1:35" ht="15" customHeight="1" x14ac:dyDescent="0.15">
      <c r="AF43" s="51"/>
      <c r="AG43" s="49"/>
    </row>
    <row r="44" spans="1:35" ht="15" customHeight="1" x14ac:dyDescent="0.15">
      <c r="AF44" s="51"/>
      <c r="AG44" s="51"/>
    </row>
    <row r="45" spans="1:35" ht="15" customHeight="1" x14ac:dyDescent="0.15">
      <c r="AF45" s="51"/>
      <c r="AG45" s="51"/>
    </row>
    <row r="46" spans="1:35" ht="15" customHeight="1" x14ac:dyDescent="0.15">
      <c r="AG46" s="51"/>
    </row>
    <row r="47" spans="1:35" ht="15" customHeight="1" x14ac:dyDescent="0.15">
      <c r="AF47" s="51"/>
      <c r="AG47" s="51"/>
    </row>
    <row r="48" spans="1:35" ht="15" customHeight="1" x14ac:dyDescent="0.15">
      <c r="AG48" s="51"/>
    </row>
    <row r="50" spans="33:33" ht="15" customHeight="1" x14ac:dyDescent="0.15">
      <c r="AG50" s="51"/>
    </row>
  </sheetData>
  <mergeCells count="17">
    <mergeCell ref="E2:N2"/>
    <mergeCell ref="E1:N1"/>
    <mergeCell ref="A1:D1"/>
    <mergeCell ref="AG2:AI2"/>
    <mergeCell ref="AA3:AB3"/>
    <mergeCell ref="AG1:AI1"/>
    <mergeCell ref="AA2:AB2"/>
    <mergeCell ref="AC3:AF3"/>
    <mergeCell ref="S1:Z3"/>
    <mergeCell ref="A3:D3"/>
    <mergeCell ref="E3:N3"/>
    <mergeCell ref="AA1:AB1"/>
    <mergeCell ref="O1:R3"/>
    <mergeCell ref="AG3:AI3"/>
    <mergeCell ref="A2:D2"/>
    <mergeCell ref="AC2:AF2"/>
    <mergeCell ref="AC1:AF1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I5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98" customWidth="1"/>
    <col min="3" max="16384" width="4.83203125" style="98"/>
  </cols>
  <sheetData>
    <row r="1" spans="1:35" s="92" customFormat="1" ht="12" customHeight="1" x14ac:dyDescent="0.15">
      <c r="A1" s="115" t="s">
        <v>4</v>
      </c>
      <c r="B1" s="112"/>
      <c r="C1" s="112"/>
      <c r="D1" s="113"/>
      <c r="E1" s="120" t="str">
        <f ca="1">IF(INDIRECT("変更履歴!E1")&lt;&gt;"",INDIRECT("変更履歴!E1"),"")</f>
        <v/>
      </c>
      <c r="F1" s="112"/>
      <c r="G1" s="112"/>
      <c r="H1" s="112"/>
      <c r="I1" s="112"/>
      <c r="J1" s="112"/>
      <c r="K1" s="112"/>
      <c r="L1" s="112"/>
      <c r="M1" s="112"/>
      <c r="N1" s="113"/>
      <c r="O1" s="133" t="s">
        <v>5</v>
      </c>
      <c r="P1" s="126"/>
      <c r="Q1" s="126"/>
      <c r="R1" s="127"/>
      <c r="S1" s="143" t="str">
        <f ca="1">IF(INDIRECT("変更履歴!S1")&lt;&gt;"",INDIRECT("変更履歴!S1"),"")</f>
        <v>システム機能設計書(バッチ)</v>
      </c>
      <c r="T1" s="126"/>
      <c r="U1" s="126"/>
      <c r="V1" s="126"/>
      <c r="W1" s="126"/>
      <c r="X1" s="126"/>
      <c r="Y1" s="126"/>
      <c r="Z1" s="127"/>
      <c r="AA1" s="115" t="s">
        <v>6</v>
      </c>
      <c r="AB1" s="113"/>
      <c r="AC1" s="124" t="str">
        <f ca="1">IF(INDIRECT("変更履歴!AC1")&lt;&gt;"",INDIRECT("変更履歴!AC1"),"")</f>
        <v/>
      </c>
      <c r="AD1" s="112"/>
      <c r="AE1" s="112"/>
      <c r="AF1" s="113"/>
      <c r="AG1" s="142" t="str">
        <f ca="1">IF(INDIRECT("変更履歴!AG1")&lt;&gt;"",INDIRECT("変更履歴!AG1"),"")</f>
        <v/>
      </c>
      <c r="AH1" s="112"/>
      <c r="AI1" s="113"/>
    </row>
    <row r="2" spans="1:35" s="92" customFormat="1" ht="12" customHeight="1" x14ac:dyDescent="0.15">
      <c r="A2" s="115" t="s">
        <v>7</v>
      </c>
      <c r="B2" s="112"/>
      <c r="C2" s="112"/>
      <c r="D2" s="113"/>
      <c r="E2" s="120" t="str">
        <f ca="1">IF(INDIRECT("変更履歴!E2")&lt;&gt;"",INDIRECT("変更履歴!E2"),"")</f>
        <v/>
      </c>
      <c r="F2" s="112"/>
      <c r="G2" s="112"/>
      <c r="H2" s="112"/>
      <c r="I2" s="112"/>
      <c r="J2" s="112"/>
      <c r="K2" s="112"/>
      <c r="L2" s="112"/>
      <c r="M2" s="112"/>
      <c r="N2" s="113"/>
      <c r="O2" s="134"/>
      <c r="P2" s="135"/>
      <c r="Q2" s="135"/>
      <c r="R2" s="136"/>
      <c r="S2" s="134"/>
      <c r="T2" s="135"/>
      <c r="U2" s="135"/>
      <c r="V2" s="135"/>
      <c r="W2" s="135"/>
      <c r="X2" s="135"/>
      <c r="Y2" s="135"/>
      <c r="Z2" s="136"/>
      <c r="AA2" s="115" t="s">
        <v>8</v>
      </c>
      <c r="AB2" s="113"/>
      <c r="AC2" s="124" t="str">
        <f ca="1">IF(INDIRECT("変更履歴!AC2")&lt;&gt;"",INDIRECT("変更履歴!AC2"),"")</f>
        <v/>
      </c>
      <c r="AD2" s="112"/>
      <c r="AE2" s="112"/>
      <c r="AF2" s="113"/>
      <c r="AG2" s="142" t="str">
        <f ca="1">IF(INDIRECT("変更履歴!AG2")&lt;&gt;"",INDIRECT("変更履歴!AG2"),"")</f>
        <v/>
      </c>
      <c r="AH2" s="112"/>
      <c r="AI2" s="113"/>
    </row>
    <row r="3" spans="1:35" s="92" customFormat="1" ht="12" customHeight="1" x14ac:dyDescent="0.15">
      <c r="A3" s="122" t="s">
        <v>9</v>
      </c>
      <c r="B3" s="112"/>
      <c r="C3" s="112"/>
      <c r="D3" s="113"/>
      <c r="E3" s="120" t="str">
        <f ca="1">IF(INDIRECT("変更履歴!E3")&lt;&gt;"",INDIRECT("変更履歴!E3"),"")</f>
        <v/>
      </c>
      <c r="F3" s="112"/>
      <c r="G3" s="112"/>
      <c r="H3" s="112"/>
      <c r="I3" s="112"/>
      <c r="J3" s="112"/>
      <c r="K3" s="112"/>
      <c r="L3" s="112"/>
      <c r="M3" s="112"/>
      <c r="N3" s="113"/>
      <c r="O3" s="137"/>
      <c r="P3" s="138"/>
      <c r="Q3" s="138"/>
      <c r="R3" s="139"/>
      <c r="S3" s="137"/>
      <c r="T3" s="138"/>
      <c r="U3" s="138"/>
      <c r="V3" s="138"/>
      <c r="W3" s="138"/>
      <c r="X3" s="138"/>
      <c r="Y3" s="138"/>
      <c r="Z3" s="139"/>
      <c r="AA3" s="122"/>
      <c r="AB3" s="113"/>
      <c r="AC3" s="124" t="str">
        <f ca="1">IF(INDIRECT("変更履歴!AC3")&lt;&gt;"",INDIRECT("変更履歴!AC3"),"")</f>
        <v/>
      </c>
      <c r="AD3" s="112"/>
      <c r="AE3" s="112"/>
      <c r="AF3" s="113"/>
      <c r="AG3" s="142" t="str">
        <f ca="1">IF(INDIRECT("変更履歴!AG3")&lt;&gt;"",INDIRECT("変更履歴!AG3"),"")</f>
        <v/>
      </c>
      <c r="AH3" s="112"/>
      <c r="AI3" s="113"/>
    </row>
    <row r="4" spans="1:35" ht="12" customHeight="1" x14ac:dyDescent="0.15"/>
    <row r="5" spans="1:35" ht="12" customHeight="1" x14ac:dyDescent="0.15">
      <c r="B5" t="s">
        <v>19</v>
      </c>
    </row>
    <row r="6" spans="1:35" ht="12" customHeight="1" x14ac:dyDescent="0.15">
      <c r="C6" t="s">
        <v>20</v>
      </c>
    </row>
    <row r="7" spans="1:35" ht="12" customHeight="1" x14ac:dyDescent="0.15"/>
    <row r="8" spans="1:35" s="101" customFormat="1" ht="12" customHeight="1" x14ac:dyDescent="0.15">
      <c r="D8" s="155" t="s">
        <v>31</v>
      </c>
      <c r="E8" s="112"/>
      <c r="F8" s="112"/>
      <c r="G8" s="113"/>
      <c r="H8" s="114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3"/>
    </row>
    <row r="9" spans="1:35" s="101" customFormat="1" ht="12" customHeight="1" x14ac:dyDescent="0.15">
      <c r="D9" s="154" t="s">
        <v>32</v>
      </c>
      <c r="E9" s="112"/>
      <c r="F9" s="112"/>
      <c r="G9" s="113"/>
      <c r="H9" s="114"/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3"/>
    </row>
    <row r="10" spans="1:35" s="101" customFormat="1" x14ac:dyDescent="0.15">
      <c r="D10" s="147" t="s">
        <v>33</v>
      </c>
      <c r="E10" s="126"/>
      <c r="F10" s="126"/>
      <c r="G10" s="127"/>
      <c r="H10" s="60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2"/>
    </row>
    <row r="11" spans="1:35" s="101" customFormat="1" x14ac:dyDescent="0.15">
      <c r="D11" s="134"/>
      <c r="E11" s="148"/>
      <c r="F11" s="148"/>
      <c r="G11" s="136"/>
      <c r="H11" s="66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8"/>
    </row>
    <row r="12" spans="1:35" s="101" customFormat="1" x14ac:dyDescent="0.15">
      <c r="D12" s="134"/>
      <c r="E12" s="148"/>
      <c r="F12" s="148"/>
      <c r="G12" s="136"/>
      <c r="H12" s="66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8"/>
    </row>
    <row r="13" spans="1:35" s="101" customFormat="1" x14ac:dyDescent="0.15">
      <c r="D13" s="134"/>
      <c r="E13" s="148"/>
      <c r="F13" s="148"/>
      <c r="G13" s="136"/>
      <c r="H13" s="66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8"/>
    </row>
    <row r="14" spans="1:35" s="101" customFormat="1" x14ac:dyDescent="0.15">
      <c r="D14" s="134"/>
      <c r="E14" s="148"/>
      <c r="F14" s="148"/>
      <c r="G14" s="136"/>
      <c r="H14" s="66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8"/>
    </row>
    <row r="15" spans="1:35" s="101" customFormat="1" x14ac:dyDescent="0.15">
      <c r="D15" s="134"/>
      <c r="E15" s="148"/>
      <c r="F15" s="148"/>
      <c r="G15" s="136"/>
      <c r="H15" s="66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8"/>
    </row>
    <row r="16" spans="1:35" s="101" customFormat="1" x14ac:dyDescent="0.15">
      <c r="D16" s="134"/>
      <c r="E16" s="148"/>
      <c r="F16" s="148"/>
      <c r="G16" s="136"/>
      <c r="H16" s="66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8"/>
    </row>
    <row r="17" spans="4:34" s="101" customFormat="1" x14ac:dyDescent="0.15">
      <c r="D17" s="134"/>
      <c r="E17" s="148"/>
      <c r="F17" s="148"/>
      <c r="G17" s="136"/>
      <c r="H17" s="66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8"/>
    </row>
    <row r="18" spans="4:34" s="101" customFormat="1" x14ac:dyDescent="0.15">
      <c r="D18" s="134"/>
      <c r="E18" s="148"/>
      <c r="F18" s="148"/>
      <c r="G18" s="136"/>
      <c r="H18" s="66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8"/>
    </row>
    <row r="19" spans="4:34" s="101" customFormat="1" x14ac:dyDescent="0.15">
      <c r="D19" s="134"/>
      <c r="E19" s="148"/>
      <c r="F19" s="148"/>
      <c r="G19" s="136"/>
      <c r="H19" s="66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8"/>
    </row>
    <row r="20" spans="4:34" s="101" customFormat="1" x14ac:dyDescent="0.15">
      <c r="D20" s="134"/>
      <c r="E20" s="148"/>
      <c r="F20" s="148"/>
      <c r="G20" s="136"/>
      <c r="H20" s="66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8"/>
    </row>
    <row r="21" spans="4:34" s="101" customFormat="1" x14ac:dyDescent="0.15">
      <c r="D21" s="134"/>
      <c r="E21" s="148"/>
      <c r="F21" s="148"/>
      <c r="G21" s="136"/>
      <c r="H21" s="66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8"/>
    </row>
    <row r="22" spans="4:34" s="101" customFormat="1" x14ac:dyDescent="0.15">
      <c r="D22" s="134"/>
      <c r="E22" s="148"/>
      <c r="F22" s="148"/>
      <c r="G22" s="136"/>
      <c r="H22" s="66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8"/>
    </row>
    <row r="23" spans="4:34" s="101" customFormat="1" x14ac:dyDescent="0.15">
      <c r="D23" s="134"/>
      <c r="E23" s="148"/>
      <c r="F23" s="148"/>
      <c r="G23" s="136"/>
      <c r="H23" s="66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8"/>
    </row>
    <row r="24" spans="4:34" s="101" customFormat="1" x14ac:dyDescent="0.15">
      <c r="D24" s="134"/>
      <c r="E24" s="148"/>
      <c r="F24" s="148"/>
      <c r="G24" s="136"/>
      <c r="H24" s="66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8"/>
    </row>
    <row r="25" spans="4:34" s="101" customFormat="1" x14ac:dyDescent="0.15">
      <c r="D25" s="134"/>
      <c r="E25" s="148"/>
      <c r="F25" s="148"/>
      <c r="G25" s="136"/>
      <c r="H25" s="66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8"/>
    </row>
    <row r="26" spans="4:34" s="101" customFormat="1" x14ac:dyDescent="0.15">
      <c r="D26" s="134"/>
      <c r="E26" s="148"/>
      <c r="F26" s="148"/>
      <c r="G26" s="136"/>
      <c r="H26" s="66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8"/>
    </row>
    <row r="27" spans="4:34" s="101" customFormat="1" x14ac:dyDescent="0.15">
      <c r="D27" s="134"/>
      <c r="E27" s="148"/>
      <c r="F27" s="148"/>
      <c r="G27" s="136"/>
      <c r="H27" s="66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8"/>
    </row>
    <row r="28" spans="4:34" s="101" customFormat="1" x14ac:dyDescent="0.15">
      <c r="D28" s="134"/>
      <c r="E28" s="148"/>
      <c r="F28" s="148"/>
      <c r="G28" s="136"/>
      <c r="H28" s="66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  <c r="AH28" s="68"/>
    </row>
    <row r="29" spans="4:34" s="101" customFormat="1" x14ac:dyDescent="0.15">
      <c r="D29" s="137"/>
      <c r="E29" s="138"/>
      <c r="F29" s="138"/>
      <c r="G29" s="139"/>
      <c r="H29" s="63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5"/>
    </row>
    <row r="30" spans="4:34" s="101" customFormat="1" x14ac:dyDescent="0.15">
      <c r="D30" s="147" t="s">
        <v>34</v>
      </c>
      <c r="E30" s="126"/>
      <c r="F30" s="126"/>
      <c r="G30" s="127"/>
      <c r="H30" s="60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2"/>
    </row>
    <row r="31" spans="4:34" s="101" customFormat="1" x14ac:dyDescent="0.15">
      <c r="D31" s="134"/>
      <c r="E31" s="148"/>
      <c r="F31" s="148"/>
      <c r="G31" s="136"/>
      <c r="H31" s="66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8"/>
    </row>
    <row r="32" spans="4:34" s="101" customFormat="1" x14ac:dyDescent="0.15">
      <c r="D32" s="134"/>
      <c r="E32" s="148"/>
      <c r="F32" s="148"/>
      <c r="G32" s="136"/>
      <c r="H32" s="66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8"/>
    </row>
    <row r="33" spans="1:34" s="101" customFormat="1" x14ac:dyDescent="0.15">
      <c r="D33" s="137"/>
      <c r="E33" s="138"/>
      <c r="F33" s="138"/>
      <c r="G33" s="139"/>
      <c r="H33" s="63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5"/>
    </row>
    <row r="34" spans="1:34" s="101" customFormat="1" x14ac:dyDescent="0.15">
      <c r="D34" s="147" t="s">
        <v>35</v>
      </c>
      <c r="E34" s="126"/>
      <c r="F34" s="126"/>
      <c r="G34" s="127"/>
      <c r="H34" s="60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2"/>
    </row>
    <row r="35" spans="1:34" s="101" customFormat="1" x14ac:dyDescent="0.15">
      <c r="D35" s="134"/>
      <c r="E35" s="148"/>
      <c r="F35" s="148"/>
      <c r="G35" s="136"/>
      <c r="H35" s="66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8"/>
    </row>
    <row r="36" spans="1:34" s="101" customFormat="1" x14ac:dyDescent="0.15">
      <c r="D36" s="134"/>
      <c r="E36" s="148"/>
      <c r="F36" s="148"/>
      <c r="G36" s="136"/>
      <c r="H36" s="66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8"/>
    </row>
    <row r="37" spans="1:34" s="101" customFormat="1" x14ac:dyDescent="0.15">
      <c r="D37" s="134"/>
      <c r="E37" s="148"/>
      <c r="F37" s="148"/>
      <c r="G37" s="136"/>
      <c r="H37" s="66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8"/>
    </row>
    <row r="38" spans="1:34" s="101" customFormat="1" x14ac:dyDescent="0.15">
      <c r="D38" s="134"/>
      <c r="E38" s="148"/>
      <c r="F38" s="148"/>
      <c r="G38" s="136"/>
      <c r="H38" s="66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8"/>
    </row>
    <row r="39" spans="1:34" s="101" customFormat="1" x14ac:dyDescent="0.15">
      <c r="D39" s="134"/>
      <c r="E39" s="148"/>
      <c r="F39" s="148"/>
      <c r="G39" s="136"/>
      <c r="H39" s="66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8"/>
    </row>
    <row r="40" spans="1:34" s="101" customFormat="1" x14ac:dyDescent="0.15">
      <c r="D40" s="134"/>
      <c r="E40" s="148"/>
      <c r="F40" s="148"/>
      <c r="G40" s="136"/>
      <c r="H40" s="66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8"/>
    </row>
    <row r="41" spans="1:34" s="101" customFormat="1" x14ac:dyDescent="0.15">
      <c r="D41" s="137"/>
      <c r="E41" s="138"/>
      <c r="F41" s="138"/>
      <c r="G41" s="139"/>
      <c r="H41" s="63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5"/>
    </row>
    <row r="42" spans="1:34" ht="12" customHeight="1" x14ac:dyDescent="0.15"/>
    <row r="43" spans="1:34" ht="12" customHeight="1" x14ac:dyDescent="0.15"/>
    <row r="44" spans="1:34" x14ac:dyDescent="0.15">
      <c r="C44" t="s">
        <v>21</v>
      </c>
    </row>
    <row r="46" spans="1:34" x14ac:dyDescent="0.15">
      <c r="D46" s="154" t="s">
        <v>11</v>
      </c>
      <c r="E46" s="153" t="s">
        <v>36</v>
      </c>
      <c r="F46" s="126"/>
      <c r="G46" s="126"/>
      <c r="H46" s="127"/>
      <c r="I46" s="147" t="s">
        <v>37</v>
      </c>
      <c r="J46" s="126"/>
      <c r="K46" s="126"/>
      <c r="L46" s="126"/>
      <c r="M46" s="126"/>
      <c r="N46" s="126"/>
      <c r="O46" s="126"/>
      <c r="P46" s="127"/>
      <c r="Q46" s="147" t="s">
        <v>38</v>
      </c>
      <c r="R46" s="127"/>
      <c r="S46" s="147" t="s">
        <v>39</v>
      </c>
      <c r="T46" s="112"/>
      <c r="U46" s="112"/>
      <c r="V46" s="113"/>
      <c r="W46" s="153" t="s">
        <v>40</v>
      </c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  <c r="AH46" s="127"/>
    </row>
    <row r="47" spans="1:34" x14ac:dyDescent="0.15">
      <c r="D47" s="152"/>
      <c r="E47" s="137"/>
      <c r="F47" s="138"/>
      <c r="G47" s="138"/>
      <c r="H47" s="139"/>
      <c r="I47" s="137"/>
      <c r="J47" s="138"/>
      <c r="K47" s="138"/>
      <c r="L47" s="138"/>
      <c r="M47" s="138"/>
      <c r="N47" s="138"/>
      <c r="O47" s="138"/>
      <c r="P47" s="139"/>
      <c r="Q47" s="137"/>
      <c r="R47" s="139"/>
      <c r="S47" s="156" t="s">
        <v>41</v>
      </c>
      <c r="T47" s="113"/>
      <c r="U47" s="156" t="s">
        <v>42</v>
      </c>
      <c r="V47" s="113"/>
      <c r="W47" s="137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9"/>
    </row>
    <row r="48" spans="1:34" x14ac:dyDescent="0.15">
      <c r="A48" s="103"/>
      <c r="B48" s="103"/>
      <c r="D48" s="150">
        <v>1</v>
      </c>
      <c r="E48" s="145"/>
      <c r="F48" s="126"/>
      <c r="G48" s="126"/>
      <c r="H48" s="127"/>
      <c r="I48" s="149"/>
      <c r="J48" s="126"/>
      <c r="K48" s="126"/>
      <c r="L48" s="126"/>
      <c r="M48" s="126"/>
      <c r="N48" s="126"/>
      <c r="O48" s="126"/>
      <c r="P48" s="127"/>
      <c r="Q48" s="144"/>
      <c r="R48" s="127"/>
      <c r="S48" s="144"/>
      <c r="T48" s="127"/>
      <c r="U48" s="144"/>
      <c r="V48" s="127"/>
      <c r="W48" s="111"/>
      <c r="X48" s="126"/>
      <c r="Y48" s="126"/>
      <c r="Z48" s="126"/>
      <c r="AA48" s="126"/>
      <c r="AB48" s="126"/>
      <c r="AC48" s="126"/>
      <c r="AD48" s="126"/>
      <c r="AE48" s="126"/>
      <c r="AF48" s="126"/>
      <c r="AG48" s="126"/>
      <c r="AH48" s="127"/>
    </row>
    <row r="49" spans="1:34" x14ac:dyDescent="0.15">
      <c r="A49" s="103"/>
      <c r="B49" s="103"/>
      <c r="D49" s="151"/>
      <c r="E49" s="134"/>
      <c r="F49" s="146"/>
      <c r="G49" s="146"/>
      <c r="H49" s="136"/>
      <c r="I49" s="134"/>
      <c r="J49" s="146"/>
      <c r="K49" s="146"/>
      <c r="L49" s="146"/>
      <c r="M49" s="146"/>
      <c r="N49" s="146"/>
      <c r="O49" s="146"/>
      <c r="P49" s="136"/>
      <c r="Q49" s="134"/>
      <c r="R49" s="136"/>
      <c r="S49" s="134"/>
      <c r="T49" s="136"/>
      <c r="U49" s="134"/>
      <c r="V49" s="136"/>
      <c r="W49" s="134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36"/>
    </row>
    <row r="50" spans="1:34" x14ac:dyDescent="0.15">
      <c r="A50" s="103"/>
      <c r="B50" s="103"/>
      <c r="D50" s="152"/>
      <c r="E50" s="137"/>
      <c r="F50" s="138"/>
      <c r="G50" s="138"/>
      <c r="H50" s="139"/>
      <c r="I50" s="137"/>
      <c r="J50" s="138"/>
      <c r="K50" s="138"/>
      <c r="L50" s="138"/>
      <c r="M50" s="138"/>
      <c r="N50" s="138"/>
      <c r="O50" s="138"/>
      <c r="P50" s="139"/>
      <c r="Q50" s="137"/>
      <c r="R50" s="139"/>
      <c r="S50" s="137"/>
      <c r="T50" s="139"/>
      <c r="U50" s="137"/>
      <c r="V50" s="139"/>
      <c r="W50" s="137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9"/>
    </row>
    <row r="51" spans="1:34" x14ac:dyDescent="0.15">
      <c r="D51" s="150">
        <v>2</v>
      </c>
      <c r="E51" s="145"/>
      <c r="F51" s="126"/>
      <c r="G51" s="126"/>
      <c r="H51" s="127"/>
      <c r="I51" s="149"/>
      <c r="J51" s="126"/>
      <c r="K51" s="126"/>
      <c r="L51" s="126"/>
      <c r="M51" s="126"/>
      <c r="N51" s="126"/>
      <c r="O51" s="126"/>
      <c r="P51" s="127"/>
      <c r="Q51" s="144"/>
      <c r="R51" s="127"/>
      <c r="S51" s="144"/>
      <c r="T51" s="127"/>
      <c r="U51" s="144"/>
      <c r="V51" s="127"/>
      <c r="W51" s="111"/>
      <c r="X51" s="126"/>
      <c r="Y51" s="126"/>
      <c r="Z51" s="126"/>
      <c r="AA51" s="126"/>
      <c r="AB51" s="126"/>
      <c r="AC51" s="126"/>
      <c r="AD51" s="126"/>
      <c r="AE51" s="126"/>
      <c r="AF51" s="126"/>
      <c r="AG51" s="126"/>
      <c r="AH51" s="127"/>
    </row>
    <row r="52" spans="1:34" x14ac:dyDescent="0.15">
      <c r="D52" s="151"/>
      <c r="E52" s="134"/>
      <c r="F52" s="146"/>
      <c r="G52" s="146"/>
      <c r="H52" s="136"/>
      <c r="I52" s="134"/>
      <c r="J52" s="146"/>
      <c r="K52" s="146"/>
      <c r="L52" s="146"/>
      <c r="M52" s="146"/>
      <c r="N52" s="146"/>
      <c r="O52" s="146"/>
      <c r="P52" s="136"/>
      <c r="Q52" s="134"/>
      <c r="R52" s="136"/>
      <c r="S52" s="134"/>
      <c r="T52" s="136"/>
      <c r="U52" s="134"/>
      <c r="V52" s="136"/>
      <c r="W52" s="134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36"/>
    </row>
    <row r="53" spans="1:34" x14ac:dyDescent="0.15">
      <c r="D53" s="152"/>
      <c r="E53" s="137"/>
      <c r="F53" s="138"/>
      <c r="G53" s="138"/>
      <c r="H53" s="139"/>
      <c r="I53" s="137"/>
      <c r="J53" s="138"/>
      <c r="K53" s="138"/>
      <c r="L53" s="138"/>
      <c r="M53" s="138"/>
      <c r="N53" s="138"/>
      <c r="O53" s="138"/>
      <c r="P53" s="139"/>
      <c r="Q53" s="137"/>
      <c r="R53" s="139"/>
      <c r="S53" s="137"/>
      <c r="T53" s="139"/>
      <c r="U53" s="137"/>
      <c r="V53" s="139"/>
      <c r="W53" s="137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9"/>
    </row>
    <row r="54" spans="1:34" x14ac:dyDescent="0.15">
      <c r="D54" s="150">
        <v>3</v>
      </c>
      <c r="E54" s="145"/>
      <c r="F54" s="126"/>
      <c r="G54" s="126"/>
      <c r="H54" s="127"/>
      <c r="I54" s="149"/>
      <c r="J54" s="126"/>
      <c r="K54" s="126"/>
      <c r="L54" s="126"/>
      <c r="M54" s="126"/>
      <c r="N54" s="126"/>
      <c r="O54" s="126"/>
      <c r="P54" s="127"/>
      <c r="Q54" s="144"/>
      <c r="R54" s="127"/>
      <c r="S54" s="144"/>
      <c r="T54" s="127"/>
      <c r="U54" s="144"/>
      <c r="V54" s="127"/>
      <c r="W54" s="111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7"/>
    </row>
    <row r="55" spans="1:34" x14ac:dyDescent="0.15">
      <c r="D55" s="151"/>
      <c r="E55" s="134"/>
      <c r="F55" s="146"/>
      <c r="G55" s="146"/>
      <c r="H55" s="136"/>
      <c r="I55" s="134"/>
      <c r="J55" s="146"/>
      <c r="K55" s="146"/>
      <c r="L55" s="146"/>
      <c r="M55" s="146"/>
      <c r="N55" s="146"/>
      <c r="O55" s="146"/>
      <c r="P55" s="136"/>
      <c r="Q55" s="134"/>
      <c r="R55" s="136"/>
      <c r="S55" s="134"/>
      <c r="T55" s="136"/>
      <c r="U55" s="134"/>
      <c r="V55" s="136"/>
      <c r="W55" s="134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36"/>
    </row>
    <row r="56" spans="1:34" x14ac:dyDescent="0.15">
      <c r="D56" s="152"/>
      <c r="E56" s="137"/>
      <c r="F56" s="138"/>
      <c r="G56" s="138"/>
      <c r="H56" s="139"/>
      <c r="I56" s="137"/>
      <c r="J56" s="138"/>
      <c r="K56" s="138"/>
      <c r="L56" s="138"/>
      <c r="M56" s="138"/>
      <c r="N56" s="138"/>
      <c r="O56" s="138"/>
      <c r="P56" s="139"/>
      <c r="Q56" s="137"/>
      <c r="R56" s="139"/>
      <c r="S56" s="137"/>
      <c r="T56" s="139"/>
      <c r="U56" s="137"/>
      <c r="V56" s="139"/>
      <c r="W56" s="137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9"/>
    </row>
    <row r="57" spans="1:34" x14ac:dyDescent="0.15">
      <c r="D57" s="150">
        <v>4</v>
      </c>
      <c r="E57" s="145"/>
      <c r="F57" s="126"/>
      <c r="G57" s="126"/>
      <c r="H57" s="127"/>
      <c r="I57" s="149"/>
      <c r="J57" s="126"/>
      <c r="K57" s="126"/>
      <c r="L57" s="126"/>
      <c r="M57" s="126"/>
      <c r="N57" s="126"/>
      <c r="O57" s="126"/>
      <c r="P57" s="127"/>
      <c r="Q57" s="144"/>
      <c r="R57" s="127"/>
      <c r="S57" s="144"/>
      <c r="T57" s="127"/>
      <c r="U57" s="144"/>
      <c r="V57" s="127"/>
      <c r="W57" s="111"/>
      <c r="X57" s="126"/>
      <c r="Y57" s="126"/>
      <c r="Z57" s="126"/>
      <c r="AA57" s="126"/>
      <c r="AB57" s="126"/>
      <c r="AC57" s="126"/>
      <c r="AD57" s="126"/>
      <c r="AE57" s="126"/>
      <c r="AF57" s="126"/>
      <c r="AG57" s="126"/>
      <c r="AH57" s="127"/>
    </row>
    <row r="58" spans="1:34" x14ac:dyDescent="0.15">
      <c r="D58" s="151"/>
      <c r="E58" s="134"/>
      <c r="F58" s="146"/>
      <c r="G58" s="146"/>
      <c r="H58" s="136"/>
      <c r="I58" s="134"/>
      <c r="J58" s="146"/>
      <c r="K58" s="146"/>
      <c r="L58" s="146"/>
      <c r="M58" s="146"/>
      <c r="N58" s="146"/>
      <c r="O58" s="146"/>
      <c r="P58" s="136"/>
      <c r="Q58" s="134"/>
      <c r="R58" s="136"/>
      <c r="S58" s="134"/>
      <c r="T58" s="136"/>
      <c r="U58" s="134"/>
      <c r="V58" s="136"/>
      <c r="W58" s="134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36"/>
    </row>
    <row r="59" spans="1:34" x14ac:dyDescent="0.15">
      <c r="D59" s="152"/>
      <c r="E59" s="137"/>
      <c r="F59" s="138"/>
      <c r="G59" s="138"/>
      <c r="H59" s="139"/>
      <c r="I59" s="137"/>
      <c r="J59" s="138"/>
      <c r="K59" s="138"/>
      <c r="L59" s="138"/>
      <c r="M59" s="138"/>
      <c r="N59" s="138"/>
      <c r="O59" s="138"/>
      <c r="P59" s="139"/>
      <c r="Q59" s="137"/>
      <c r="R59" s="139"/>
      <c r="S59" s="137"/>
      <c r="T59" s="139"/>
      <c r="U59" s="137"/>
      <c r="V59" s="139"/>
      <c r="W59" s="137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9"/>
    </row>
  </sheetData>
  <mergeCells count="60">
    <mergeCell ref="E54:H56"/>
    <mergeCell ref="AC2:AF2"/>
    <mergeCell ref="I54:P56"/>
    <mergeCell ref="E3:N3"/>
    <mergeCell ref="AG3:AI3"/>
    <mergeCell ref="AG2:AI2"/>
    <mergeCell ref="S47:T47"/>
    <mergeCell ref="S51:T53"/>
    <mergeCell ref="S1:Z3"/>
    <mergeCell ref="AC1:AF1"/>
    <mergeCell ref="AA1:AB1"/>
    <mergeCell ref="AG1:AI1"/>
    <mergeCell ref="D57:D59"/>
    <mergeCell ref="I51:P53"/>
    <mergeCell ref="D48:D50"/>
    <mergeCell ref="D9:G9"/>
    <mergeCell ref="W46:AH47"/>
    <mergeCell ref="U51:V53"/>
    <mergeCell ref="W51:AH53"/>
    <mergeCell ref="D46:D47"/>
    <mergeCell ref="S46:V46"/>
    <mergeCell ref="S48:T50"/>
    <mergeCell ref="U48:V50"/>
    <mergeCell ref="U47:V47"/>
    <mergeCell ref="Q57:R59"/>
    <mergeCell ref="H9:AH9"/>
    <mergeCell ref="E57:H59"/>
    <mergeCell ref="W54:AH56"/>
    <mergeCell ref="U57:V59"/>
    <mergeCell ref="E48:H50"/>
    <mergeCell ref="AC3:AF3"/>
    <mergeCell ref="S57:T59"/>
    <mergeCell ref="E51:H53"/>
    <mergeCell ref="I46:P47"/>
    <mergeCell ref="W57:AH59"/>
    <mergeCell ref="D10:G29"/>
    <mergeCell ref="D30:G33"/>
    <mergeCell ref="W48:AH50"/>
    <mergeCell ref="I48:P50"/>
    <mergeCell ref="H8:AH8"/>
    <mergeCell ref="AA3:AB3"/>
    <mergeCell ref="D54:D56"/>
    <mergeCell ref="Q46:R47"/>
    <mergeCell ref="I57:P59"/>
    <mergeCell ref="A3:D3"/>
    <mergeCell ref="AA2:AB2"/>
    <mergeCell ref="O1:R3"/>
    <mergeCell ref="A2:D2"/>
    <mergeCell ref="S54:T56"/>
    <mergeCell ref="U54:V56"/>
    <mergeCell ref="Q48:R50"/>
    <mergeCell ref="E2:N2"/>
    <mergeCell ref="A1:D1"/>
    <mergeCell ref="Q51:R53"/>
    <mergeCell ref="E1:N1"/>
    <mergeCell ref="D51:D53"/>
    <mergeCell ref="D34:G41"/>
    <mergeCell ref="E46:H47"/>
    <mergeCell ref="Q54:R56"/>
    <mergeCell ref="D8:G8"/>
  </mergeCells>
  <phoneticPr fontId="11"/>
  <dataValidations count="1">
    <dataValidation type="list" allowBlank="1" showInputMessage="1" showErrorMessage="1" sqref="Q48:V59" xr:uid="{00000000-0002-0000-0300-000000000000}">
      <formula1>"○,-"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  <rowBreaks count="1" manualBreakCount="1">
    <brk id="42" max="3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AI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98" customWidth="1"/>
    <col min="3" max="16384" width="4.83203125" style="98"/>
  </cols>
  <sheetData>
    <row r="1" spans="1:35" s="92" customFormat="1" ht="12" customHeight="1" x14ac:dyDescent="0.15">
      <c r="A1" s="115" t="s">
        <v>4</v>
      </c>
      <c r="B1" s="112"/>
      <c r="C1" s="112"/>
      <c r="D1" s="113"/>
      <c r="E1" s="120" t="str">
        <f ca="1">IF(INDIRECT("変更履歴!E1")&lt;&gt;"",INDIRECT("変更履歴!E1"),"")</f>
        <v/>
      </c>
      <c r="F1" s="112"/>
      <c r="G1" s="112"/>
      <c r="H1" s="112"/>
      <c r="I1" s="112"/>
      <c r="J1" s="112"/>
      <c r="K1" s="112"/>
      <c r="L1" s="112"/>
      <c r="M1" s="112"/>
      <c r="N1" s="113"/>
      <c r="O1" s="133" t="s">
        <v>5</v>
      </c>
      <c r="P1" s="126"/>
      <c r="Q1" s="126"/>
      <c r="R1" s="127"/>
      <c r="S1" s="143" t="str">
        <f ca="1">IF(INDIRECT("変更履歴!S1")&lt;&gt;"",INDIRECT("変更履歴!S1"),"")</f>
        <v>システム機能設計書(バッチ)</v>
      </c>
      <c r="T1" s="126"/>
      <c r="U1" s="126"/>
      <c r="V1" s="126"/>
      <c r="W1" s="126"/>
      <c r="X1" s="126"/>
      <c r="Y1" s="126"/>
      <c r="Z1" s="127"/>
      <c r="AA1" s="115" t="s">
        <v>6</v>
      </c>
      <c r="AB1" s="113"/>
      <c r="AC1" s="124" t="str">
        <f ca="1">IF(INDIRECT("変更履歴!AC1")&lt;&gt;"",INDIRECT("変更履歴!AC1"),"")</f>
        <v/>
      </c>
      <c r="AD1" s="112"/>
      <c r="AE1" s="112"/>
      <c r="AF1" s="113"/>
      <c r="AG1" s="142" t="str">
        <f ca="1">IF(INDIRECT("変更履歴!AG1")&lt;&gt;"",INDIRECT("変更履歴!AG1"),"")</f>
        <v/>
      </c>
      <c r="AH1" s="112"/>
      <c r="AI1" s="113"/>
    </row>
    <row r="2" spans="1:35" s="92" customFormat="1" ht="12" customHeight="1" x14ac:dyDescent="0.15">
      <c r="A2" s="115" t="s">
        <v>7</v>
      </c>
      <c r="B2" s="112"/>
      <c r="C2" s="112"/>
      <c r="D2" s="113"/>
      <c r="E2" s="120" t="str">
        <f ca="1">IF(INDIRECT("変更履歴!E2")&lt;&gt;"",INDIRECT("変更履歴!E2"),"")</f>
        <v/>
      </c>
      <c r="F2" s="112"/>
      <c r="G2" s="112"/>
      <c r="H2" s="112"/>
      <c r="I2" s="112"/>
      <c r="J2" s="112"/>
      <c r="K2" s="112"/>
      <c r="L2" s="112"/>
      <c r="M2" s="112"/>
      <c r="N2" s="113"/>
      <c r="O2" s="134"/>
      <c r="P2" s="135"/>
      <c r="Q2" s="135"/>
      <c r="R2" s="136"/>
      <c r="S2" s="134"/>
      <c r="T2" s="135"/>
      <c r="U2" s="135"/>
      <c r="V2" s="135"/>
      <c r="W2" s="135"/>
      <c r="X2" s="135"/>
      <c r="Y2" s="135"/>
      <c r="Z2" s="136"/>
      <c r="AA2" s="115" t="s">
        <v>8</v>
      </c>
      <c r="AB2" s="113"/>
      <c r="AC2" s="124" t="str">
        <f ca="1">IF(INDIRECT("変更履歴!AC2")&lt;&gt;"",INDIRECT("変更履歴!AC2"),"")</f>
        <v/>
      </c>
      <c r="AD2" s="112"/>
      <c r="AE2" s="112"/>
      <c r="AF2" s="113"/>
      <c r="AG2" s="142" t="str">
        <f ca="1">IF(INDIRECT("変更履歴!AG2")&lt;&gt;"",INDIRECT("変更履歴!AG2"),"")</f>
        <v/>
      </c>
      <c r="AH2" s="112"/>
      <c r="AI2" s="113"/>
    </row>
    <row r="3" spans="1:35" s="92" customFormat="1" ht="12" customHeight="1" x14ac:dyDescent="0.15">
      <c r="A3" s="122" t="s">
        <v>9</v>
      </c>
      <c r="B3" s="112"/>
      <c r="C3" s="112"/>
      <c r="D3" s="113"/>
      <c r="E3" s="120" t="str">
        <f ca="1">IF(INDIRECT("変更履歴!E3")&lt;&gt;"",INDIRECT("変更履歴!E3"),"")</f>
        <v/>
      </c>
      <c r="F3" s="112"/>
      <c r="G3" s="112"/>
      <c r="H3" s="112"/>
      <c r="I3" s="112"/>
      <c r="J3" s="112"/>
      <c r="K3" s="112"/>
      <c r="L3" s="112"/>
      <c r="M3" s="112"/>
      <c r="N3" s="113"/>
      <c r="O3" s="137"/>
      <c r="P3" s="138"/>
      <c r="Q3" s="138"/>
      <c r="R3" s="139"/>
      <c r="S3" s="137"/>
      <c r="T3" s="138"/>
      <c r="U3" s="138"/>
      <c r="V3" s="138"/>
      <c r="W3" s="138"/>
      <c r="X3" s="138"/>
      <c r="Y3" s="138"/>
      <c r="Z3" s="139"/>
      <c r="AA3" s="122"/>
      <c r="AB3" s="113"/>
      <c r="AC3" s="124" t="str">
        <f ca="1">IF(INDIRECT("変更履歴!AC3")&lt;&gt;"",INDIRECT("変更履歴!AC3"),"")</f>
        <v/>
      </c>
      <c r="AD3" s="112"/>
      <c r="AE3" s="112"/>
      <c r="AF3" s="113"/>
      <c r="AG3" s="142" t="str">
        <f ca="1">IF(INDIRECT("変更履歴!AG3")&lt;&gt;"",INDIRECT("変更履歴!AG3"),"")</f>
        <v/>
      </c>
      <c r="AH3" s="112"/>
      <c r="AI3" s="113"/>
    </row>
    <row r="4" spans="1:35" ht="12" customHeight="1" x14ac:dyDescent="0.15"/>
    <row r="5" spans="1:35" ht="12" customHeight="1" x14ac:dyDescent="0.15">
      <c r="C5" t="s">
        <v>22</v>
      </c>
    </row>
    <row r="6" spans="1:35" ht="12" customHeight="1" x14ac:dyDescent="0.15"/>
  </sheetData>
  <mergeCells count="17">
    <mergeCell ref="E2:N2"/>
    <mergeCell ref="E1:N1"/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R125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98" customWidth="1"/>
    <col min="3" max="16384" width="4.83203125" style="98"/>
  </cols>
  <sheetData>
    <row r="1" spans="1:42" s="92" customFormat="1" ht="12" customHeight="1" x14ac:dyDescent="0.15">
      <c r="A1" s="115" t="s">
        <v>4</v>
      </c>
      <c r="B1" s="112"/>
      <c r="C1" s="112"/>
      <c r="D1" s="113"/>
      <c r="E1" s="120" t="str">
        <f ca="1">IF(INDIRECT("変更履歴!E1")&lt;&gt;"",INDIRECT("変更履歴!E1"),"")</f>
        <v/>
      </c>
      <c r="F1" s="112"/>
      <c r="G1" s="112"/>
      <c r="H1" s="112"/>
      <c r="I1" s="112"/>
      <c r="J1" s="112"/>
      <c r="K1" s="112"/>
      <c r="L1" s="112"/>
      <c r="M1" s="112"/>
      <c r="N1" s="113"/>
      <c r="O1" s="133" t="s">
        <v>5</v>
      </c>
      <c r="P1" s="126"/>
      <c r="Q1" s="126"/>
      <c r="R1" s="127"/>
      <c r="S1" s="143" t="str">
        <f ca="1">IF(INDIRECT("変更履歴!S1")&lt;&gt;"",INDIRECT("変更履歴!S1"),"")</f>
        <v>システム機能設計書(バッチ)</v>
      </c>
      <c r="T1" s="126"/>
      <c r="U1" s="126"/>
      <c r="V1" s="126"/>
      <c r="W1" s="126"/>
      <c r="X1" s="126"/>
      <c r="Y1" s="126"/>
      <c r="Z1" s="127"/>
      <c r="AA1" s="115" t="s">
        <v>6</v>
      </c>
      <c r="AB1" s="113"/>
      <c r="AC1" s="124" t="str">
        <f ca="1">IF(INDIRECT("変更履歴!AC1")&lt;&gt;"",INDIRECT("変更履歴!AC1"),"")</f>
        <v/>
      </c>
      <c r="AD1" s="112"/>
      <c r="AE1" s="112"/>
      <c r="AF1" s="113"/>
      <c r="AG1" s="142" t="str">
        <f ca="1">IF(INDIRECT("変更履歴!AG1")&lt;&gt;"",INDIRECT("変更履歴!AG1"),"")</f>
        <v/>
      </c>
      <c r="AH1" s="112"/>
      <c r="AI1" s="113"/>
      <c r="AJ1" s="7"/>
      <c r="AK1" s="7"/>
      <c r="AL1" s="8"/>
    </row>
    <row r="2" spans="1:42" s="92" customFormat="1" ht="12" customHeight="1" x14ac:dyDescent="0.15">
      <c r="A2" s="115" t="s">
        <v>7</v>
      </c>
      <c r="B2" s="112"/>
      <c r="C2" s="112"/>
      <c r="D2" s="113"/>
      <c r="E2" s="120" t="str">
        <f ca="1">IF(INDIRECT("変更履歴!E2")&lt;&gt;"",INDIRECT("変更履歴!E2"),"")</f>
        <v/>
      </c>
      <c r="F2" s="112"/>
      <c r="G2" s="112"/>
      <c r="H2" s="112"/>
      <c r="I2" s="112"/>
      <c r="J2" s="112"/>
      <c r="K2" s="112"/>
      <c r="L2" s="112"/>
      <c r="M2" s="112"/>
      <c r="N2" s="113"/>
      <c r="O2" s="134"/>
      <c r="P2" s="135"/>
      <c r="Q2" s="135"/>
      <c r="R2" s="136"/>
      <c r="S2" s="134"/>
      <c r="T2" s="135"/>
      <c r="U2" s="135"/>
      <c r="V2" s="135"/>
      <c r="W2" s="135"/>
      <c r="X2" s="135"/>
      <c r="Y2" s="135"/>
      <c r="Z2" s="136"/>
      <c r="AA2" s="115" t="s">
        <v>8</v>
      </c>
      <c r="AB2" s="113"/>
      <c r="AC2" s="124" t="str">
        <f ca="1">IF(INDIRECT("変更履歴!AC2")&lt;&gt;"",INDIRECT("変更履歴!AC2"),"")</f>
        <v/>
      </c>
      <c r="AD2" s="112"/>
      <c r="AE2" s="112"/>
      <c r="AF2" s="113"/>
      <c r="AG2" s="142" t="str">
        <f ca="1">IF(INDIRECT("変更履歴!AG2")&lt;&gt;"",INDIRECT("変更履歴!AG2"),"")</f>
        <v/>
      </c>
      <c r="AH2" s="112"/>
      <c r="AI2" s="113"/>
      <c r="AJ2" s="7"/>
      <c r="AK2" s="7"/>
      <c r="AL2" s="7"/>
    </row>
    <row r="3" spans="1:42" s="92" customFormat="1" ht="12" customHeight="1" x14ac:dyDescent="0.15">
      <c r="A3" s="122" t="s">
        <v>9</v>
      </c>
      <c r="B3" s="112"/>
      <c r="C3" s="112"/>
      <c r="D3" s="113"/>
      <c r="E3" s="120" t="str">
        <f ca="1">IF(INDIRECT("変更履歴!E3")&lt;&gt;"",INDIRECT("変更履歴!E3"),"")</f>
        <v/>
      </c>
      <c r="F3" s="112"/>
      <c r="G3" s="112"/>
      <c r="H3" s="112"/>
      <c r="I3" s="112"/>
      <c r="J3" s="112"/>
      <c r="K3" s="112"/>
      <c r="L3" s="112"/>
      <c r="M3" s="112"/>
      <c r="N3" s="113"/>
      <c r="O3" s="137"/>
      <c r="P3" s="138"/>
      <c r="Q3" s="138"/>
      <c r="R3" s="139"/>
      <c r="S3" s="137"/>
      <c r="T3" s="138"/>
      <c r="U3" s="138"/>
      <c r="V3" s="138"/>
      <c r="W3" s="138"/>
      <c r="X3" s="138"/>
      <c r="Y3" s="138"/>
      <c r="Z3" s="139"/>
      <c r="AA3" s="122"/>
      <c r="AB3" s="113"/>
      <c r="AC3" s="124" t="str">
        <f ca="1">IF(INDIRECT("変更履歴!AC3")&lt;&gt;"",INDIRECT("変更履歴!AC3"),"")</f>
        <v/>
      </c>
      <c r="AD3" s="112"/>
      <c r="AE3" s="112"/>
      <c r="AF3" s="113"/>
      <c r="AG3" s="142" t="str">
        <f ca="1">IF(INDIRECT("変更履歴!AG3")&lt;&gt;"",INDIRECT("変更履歴!AG3"),"")</f>
        <v/>
      </c>
      <c r="AH3" s="112"/>
      <c r="AI3" s="113"/>
      <c r="AJ3" s="7"/>
      <c r="AK3" s="7"/>
      <c r="AL3" s="7"/>
    </row>
    <row r="4" spans="1:42" ht="12" customHeight="1" x14ac:dyDescent="0.15"/>
    <row r="5" spans="1:42" ht="12" customHeight="1" x14ac:dyDescent="0.15">
      <c r="B5" t="s">
        <v>43</v>
      </c>
    </row>
    <row r="6" spans="1:42" ht="12" customHeight="1" x14ac:dyDescent="0.15">
      <c r="C6" t="s">
        <v>24</v>
      </c>
    </row>
    <row r="7" spans="1:42" ht="12" customHeight="1" x14ac:dyDescent="0.15"/>
    <row r="8" spans="1:42" s="103" customFormat="1" ht="19.5" customHeight="1" x14ac:dyDescent="0.15">
      <c r="D8" s="165" t="s">
        <v>44</v>
      </c>
      <c r="E8" s="112"/>
      <c r="F8" s="112"/>
      <c r="G8" s="112"/>
      <c r="H8" s="113"/>
      <c r="I8" s="111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3"/>
      <c r="AI8" s="29"/>
    </row>
    <row r="9" spans="1:42" s="103" customFormat="1" ht="19.5" customHeight="1" x14ac:dyDescent="0.15">
      <c r="D9" s="165" t="s">
        <v>45</v>
      </c>
      <c r="E9" s="112"/>
      <c r="F9" s="112"/>
      <c r="G9" s="112"/>
      <c r="H9" s="113"/>
      <c r="I9" s="111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3"/>
      <c r="AI9" s="29"/>
    </row>
    <row r="10" spans="1:42" s="103" customFormat="1" ht="19.5" customHeight="1" x14ac:dyDescent="0.15">
      <c r="D10" s="165" t="s">
        <v>46</v>
      </c>
      <c r="E10" s="112"/>
      <c r="F10" s="112"/>
      <c r="G10" s="112"/>
      <c r="H10" s="113"/>
      <c r="I10" s="111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3"/>
      <c r="AI10" s="29"/>
    </row>
    <row r="11" spans="1:42" s="103" customFormat="1" ht="11.25" customHeight="1" x14ac:dyDescent="0.15"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</row>
    <row r="13" spans="1:42" x14ac:dyDescent="0.15">
      <c r="C13" t="s">
        <v>25</v>
      </c>
      <c r="F13"/>
    </row>
    <row r="15" spans="1:42" s="103" customFormat="1" x14ac:dyDescent="0.15">
      <c r="D15" s="102" t="s">
        <v>11</v>
      </c>
      <c r="E15" s="162" t="s">
        <v>47</v>
      </c>
      <c r="F15" s="112"/>
      <c r="G15" s="112"/>
      <c r="H15" s="112"/>
      <c r="I15" s="112"/>
      <c r="J15" s="113"/>
      <c r="K15" s="78" t="s">
        <v>48</v>
      </c>
      <c r="L15" s="174" t="s">
        <v>49</v>
      </c>
      <c r="M15" s="112"/>
      <c r="N15" s="112"/>
      <c r="O15" s="112"/>
      <c r="P15" s="113"/>
      <c r="Q15" s="174" t="s">
        <v>50</v>
      </c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3"/>
      <c r="AI15" s="30"/>
      <c r="AK15" s="174" t="s">
        <v>51</v>
      </c>
      <c r="AL15" s="112"/>
      <c r="AM15" s="112"/>
      <c r="AN15" s="112"/>
      <c r="AO15" s="112"/>
      <c r="AP15" s="113"/>
    </row>
    <row r="16" spans="1:42" s="103" customFormat="1" x14ac:dyDescent="0.15">
      <c r="D16" s="99">
        <v>1</v>
      </c>
      <c r="E16" s="111"/>
      <c r="F16" s="112"/>
      <c r="G16" s="112"/>
      <c r="H16" s="112"/>
      <c r="I16" s="112"/>
      <c r="J16" s="113"/>
      <c r="K16" s="71"/>
      <c r="L16" s="111"/>
      <c r="M16" s="112"/>
      <c r="N16" s="112"/>
      <c r="O16" s="112"/>
      <c r="P16" s="113"/>
      <c r="Q16" s="111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3"/>
      <c r="AI16" s="31"/>
      <c r="AK16" s="114"/>
      <c r="AL16" s="112"/>
      <c r="AM16" s="112"/>
      <c r="AN16" s="112"/>
      <c r="AO16" s="112"/>
      <c r="AP16" s="113"/>
    </row>
    <row r="17" spans="3:42" s="103" customFormat="1" x14ac:dyDescent="0.15">
      <c r="D17" s="99">
        <v>2</v>
      </c>
      <c r="E17" s="111"/>
      <c r="F17" s="112"/>
      <c r="G17" s="112"/>
      <c r="H17" s="112"/>
      <c r="I17" s="112"/>
      <c r="J17" s="113"/>
      <c r="K17" s="71"/>
      <c r="L17" s="111"/>
      <c r="M17" s="112"/>
      <c r="N17" s="112"/>
      <c r="O17" s="112"/>
      <c r="P17" s="113"/>
      <c r="Q17" s="111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3"/>
      <c r="AI17" s="31"/>
      <c r="AK17" s="114"/>
      <c r="AL17" s="112"/>
      <c r="AM17" s="112"/>
      <c r="AN17" s="112"/>
      <c r="AO17" s="112"/>
      <c r="AP17" s="113"/>
    </row>
    <row r="18" spans="3:42" s="103" customFormat="1" x14ac:dyDescent="0.15">
      <c r="D18" s="99">
        <v>3</v>
      </c>
      <c r="E18" s="111"/>
      <c r="F18" s="112"/>
      <c r="G18" s="112"/>
      <c r="H18" s="112"/>
      <c r="I18" s="112"/>
      <c r="J18" s="113"/>
      <c r="K18" s="71"/>
      <c r="L18" s="111"/>
      <c r="M18" s="112"/>
      <c r="N18" s="112"/>
      <c r="O18" s="112"/>
      <c r="P18" s="113"/>
      <c r="Q18" s="111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3"/>
      <c r="AI18" s="31"/>
      <c r="AK18" s="114"/>
      <c r="AL18" s="112"/>
      <c r="AM18" s="112"/>
      <c r="AN18" s="112"/>
      <c r="AO18" s="112"/>
      <c r="AP18" s="113"/>
    </row>
    <row r="21" spans="3:42" x14ac:dyDescent="0.15">
      <c r="C21" t="s">
        <v>26</v>
      </c>
    </row>
    <row r="23" spans="3:42" x14ac:dyDescent="0.15">
      <c r="D23" s="97" t="s">
        <v>11</v>
      </c>
      <c r="E23" s="168" t="s">
        <v>52</v>
      </c>
      <c r="F23" s="112"/>
      <c r="G23" s="113"/>
      <c r="H23" s="153" t="s">
        <v>53</v>
      </c>
      <c r="I23" s="112"/>
      <c r="J23" s="113"/>
      <c r="K23" s="154" t="s">
        <v>54</v>
      </c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3"/>
    </row>
    <row r="24" spans="3:42" x14ac:dyDescent="0.15">
      <c r="D24" s="100">
        <v>1</v>
      </c>
      <c r="E24" s="111"/>
      <c r="F24" s="112"/>
      <c r="G24" s="113"/>
      <c r="H24" s="111"/>
      <c r="I24" s="112"/>
      <c r="J24" s="113"/>
      <c r="K24" s="111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3"/>
    </row>
    <row r="25" spans="3:42" x14ac:dyDescent="0.15">
      <c r="D25" s="100">
        <v>2</v>
      </c>
      <c r="E25" s="111"/>
      <c r="F25" s="112"/>
      <c r="G25" s="113"/>
      <c r="H25" s="111"/>
      <c r="I25" s="112"/>
      <c r="J25" s="113"/>
      <c r="K25" s="111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3"/>
    </row>
    <row r="26" spans="3:42" x14ac:dyDescent="0.15">
      <c r="D26" s="100">
        <v>3</v>
      </c>
      <c r="E26" s="111"/>
      <c r="F26" s="112"/>
      <c r="G26" s="113"/>
      <c r="H26" s="111"/>
      <c r="I26" s="112"/>
      <c r="J26" s="113"/>
      <c r="K26" s="111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3"/>
    </row>
    <row r="29" spans="3:42" x14ac:dyDescent="0.15">
      <c r="C29" t="s">
        <v>27</v>
      </c>
      <c r="F29"/>
    </row>
    <row r="31" spans="3:42" x14ac:dyDescent="0.15">
      <c r="D31" s="170" t="s">
        <v>11</v>
      </c>
      <c r="E31" s="168" t="s">
        <v>55</v>
      </c>
      <c r="F31" s="126"/>
      <c r="G31" s="126"/>
      <c r="H31" s="126"/>
      <c r="I31" s="126"/>
      <c r="J31" s="127"/>
      <c r="K31" s="154" t="s">
        <v>56</v>
      </c>
      <c r="L31" s="126"/>
      <c r="M31" s="126"/>
      <c r="N31" s="127"/>
      <c r="O31" s="175" t="s">
        <v>57</v>
      </c>
      <c r="P31" s="170" t="s">
        <v>58</v>
      </c>
      <c r="Q31" s="112"/>
      <c r="R31" s="112"/>
      <c r="S31" s="112"/>
      <c r="T31" s="112"/>
      <c r="U31" s="113"/>
      <c r="V31" s="168" t="s">
        <v>59</v>
      </c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7"/>
    </row>
    <row r="32" spans="3:42" s="103" customFormat="1" x14ac:dyDescent="0.15">
      <c r="D32" s="152"/>
      <c r="E32" s="137"/>
      <c r="F32" s="138"/>
      <c r="G32" s="138"/>
      <c r="H32" s="138"/>
      <c r="I32" s="138"/>
      <c r="J32" s="139"/>
      <c r="K32" s="137"/>
      <c r="L32" s="138"/>
      <c r="M32" s="138"/>
      <c r="N32" s="139"/>
      <c r="O32" s="152"/>
      <c r="P32" s="28" t="s">
        <v>60</v>
      </c>
      <c r="Q32" s="28" t="s">
        <v>61</v>
      </c>
      <c r="R32" s="28" t="s">
        <v>62</v>
      </c>
      <c r="S32" s="28" t="s">
        <v>63</v>
      </c>
      <c r="T32" s="161" t="s">
        <v>64</v>
      </c>
      <c r="U32" s="113"/>
      <c r="V32" s="137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9"/>
    </row>
    <row r="33" spans="3:35" s="103" customFormat="1" x14ac:dyDescent="0.15">
      <c r="D33" s="100">
        <v>1</v>
      </c>
      <c r="E33" s="111"/>
      <c r="F33" s="112"/>
      <c r="G33" s="112"/>
      <c r="H33" s="112"/>
      <c r="I33" s="112"/>
      <c r="J33" s="113"/>
      <c r="K33" s="111"/>
      <c r="L33" s="112"/>
      <c r="M33" s="112"/>
      <c r="N33" s="113"/>
      <c r="O33" s="88"/>
      <c r="P33" s="33"/>
      <c r="Q33" s="33"/>
      <c r="R33" s="33"/>
      <c r="S33" s="33"/>
      <c r="T33" s="169"/>
      <c r="U33" s="113"/>
      <c r="V33" s="111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3"/>
    </row>
    <row r="34" spans="3:35" ht="11.25" customHeight="1" x14ac:dyDescent="0.15">
      <c r="D34" s="100">
        <v>2</v>
      </c>
      <c r="E34" s="111"/>
      <c r="F34" s="112"/>
      <c r="G34" s="112"/>
      <c r="H34" s="112"/>
      <c r="I34" s="112"/>
      <c r="J34" s="113"/>
      <c r="K34" s="111"/>
      <c r="L34" s="112"/>
      <c r="M34" s="112"/>
      <c r="N34" s="113"/>
      <c r="O34" s="88"/>
      <c r="P34" s="33"/>
      <c r="Q34" s="33"/>
      <c r="R34" s="33"/>
      <c r="S34" s="33"/>
      <c r="T34" s="169"/>
      <c r="U34" s="113"/>
      <c r="V34" s="111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3"/>
    </row>
    <row r="35" spans="3:35" ht="11.25" customHeight="1" x14ac:dyDescent="0.15">
      <c r="D35" s="100">
        <v>3</v>
      </c>
      <c r="E35" s="111"/>
      <c r="F35" s="112"/>
      <c r="G35" s="112"/>
      <c r="H35" s="112"/>
      <c r="I35" s="112"/>
      <c r="J35" s="113"/>
      <c r="K35" s="111"/>
      <c r="L35" s="112"/>
      <c r="M35" s="112"/>
      <c r="N35" s="113"/>
      <c r="O35" s="88"/>
      <c r="P35" s="33"/>
      <c r="Q35" s="33"/>
      <c r="R35" s="33"/>
      <c r="S35" s="33"/>
      <c r="T35" s="169"/>
      <c r="U35" s="113"/>
      <c r="V35" s="111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3"/>
    </row>
    <row r="38" spans="3:35" x14ac:dyDescent="0.15">
      <c r="C38" t="s">
        <v>28</v>
      </c>
      <c r="G38"/>
    </row>
    <row r="39" spans="3:35" x14ac:dyDescent="0.15">
      <c r="D39" t="s">
        <v>65</v>
      </c>
    </row>
    <row r="41" spans="3:35" s="103" customFormat="1" x14ac:dyDescent="0.15">
      <c r="E41" s="153" t="s">
        <v>66</v>
      </c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3"/>
      <c r="AI41" s="53"/>
    </row>
    <row r="42" spans="3:35" s="103" customFormat="1" x14ac:dyDescent="0.15">
      <c r="E42" s="172" t="s">
        <v>11</v>
      </c>
      <c r="F42" s="158" t="s">
        <v>67</v>
      </c>
      <c r="G42" s="159"/>
      <c r="H42" s="159"/>
      <c r="I42" s="159"/>
      <c r="J42" s="159"/>
      <c r="K42" s="136"/>
      <c r="L42" s="158" t="s">
        <v>66</v>
      </c>
      <c r="M42" s="159"/>
      <c r="N42" s="159"/>
      <c r="O42" s="159"/>
      <c r="P42" s="136"/>
      <c r="Q42" s="173" t="s">
        <v>48</v>
      </c>
      <c r="R42" s="172" t="s">
        <v>68</v>
      </c>
      <c r="S42" s="138"/>
      <c r="T42" s="138"/>
      <c r="U42" s="138"/>
      <c r="V42" s="139"/>
      <c r="W42" s="153" t="s">
        <v>59</v>
      </c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7"/>
      <c r="AI42" s="54"/>
    </row>
    <row r="43" spans="3:35" s="103" customFormat="1" x14ac:dyDescent="0.15">
      <c r="E43" s="152"/>
      <c r="F43" s="137"/>
      <c r="G43" s="138"/>
      <c r="H43" s="138"/>
      <c r="I43" s="138"/>
      <c r="J43" s="138"/>
      <c r="K43" s="139"/>
      <c r="L43" s="137"/>
      <c r="M43" s="138"/>
      <c r="N43" s="138"/>
      <c r="O43" s="138"/>
      <c r="P43" s="139"/>
      <c r="Q43" s="152"/>
      <c r="R43" s="147" t="s">
        <v>69</v>
      </c>
      <c r="S43" s="112"/>
      <c r="T43" s="112"/>
      <c r="U43" s="112"/>
      <c r="V43" s="113"/>
      <c r="W43" s="137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9"/>
      <c r="AI43" s="54"/>
    </row>
    <row r="44" spans="3:35" s="103" customFormat="1" x14ac:dyDescent="0.15">
      <c r="E44" s="75">
        <v>1</v>
      </c>
      <c r="F44" s="111"/>
      <c r="G44" s="112"/>
      <c r="H44" s="112"/>
      <c r="I44" s="112"/>
      <c r="J44" s="112"/>
      <c r="K44" s="113"/>
      <c r="L44" s="157"/>
      <c r="M44" s="112"/>
      <c r="N44" s="112"/>
      <c r="O44" s="112"/>
      <c r="P44" s="113"/>
      <c r="Q44" s="88"/>
      <c r="R44" s="111"/>
      <c r="S44" s="112"/>
      <c r="T44" s="112"/>
      <c r="U44" s="112"/>
      <c r="V44" s="113"/>
      <c r="W44" s="111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3"/>
      <c r="AI44" s="13"/>
    </row>
    <row r="45" spans="3:35" x14ac:dyDescent="0.15">
      <c r="E45" s="75">
        <v>2</v>
      </c>
      <c r="F45" s="111"/>
      <c r="G45" s="112"/>
      <c r="H45" s="112"/>
      <c r="I45" s="112"/>
      <c r="J45" s="112"/>
      <c r="K45" s="113"/>
      <c r="L45" s="157"/>
      <c r="M45" s="112"/>
      <c r="N45" s="112"/>
      <c r="O45" s="112"/>
      <c r="P45" s="113"/>
      <c r="Q45" s="88"/>
      <c r="R45" s="111"/>
      <c r="S45" s="112"/>
      <c r="T45" s="112"/>
      <c r="U45" s="112"/>
      <c r="V45" s="113"/>
      <c r="W45" s="111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3"/>
      <c r="AI45" s="52"/>
    </row>
    <row r="46" spans="3:35" x14ac:dyDescent="0.15">
      <c r="E46" s="75">
        <v>3</v>
      </c>
      <c r="F46" s="111"/>
      <c r="G46" s="112"/>
      <c r="H46" s="112"/>
      <c r="I46" s="112"/>
      <c r="J46" s="112"/>
      <c r="K46" s="113"/>
      <c r="L46" s="157"/>
      <c r="M46" s="112"/>
      <c r="N46" s="112"/>
      <c r="O46" s="112"/>
      <c r="P46" s="113"/>
      <c r="Q46" s="88"/>
      <c r="R46" s="111"/>
      <c r="S46" s="112"/>
      <c r="T46" s="112"/>
      <c r="U46" s="112"/>
      <c r="V46" s="113"/>
      <c r="W46" s="111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3"/>
      <c r="AI46" s="52"/>
    </row>
    <row r="47" spans="3:35" x14ac:dyDescent="0.15">
      <c r="E47" s="166" t="s">
        <v>70</v>
      </c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3"/>
      <c r="AI47" s="52"/>
    </row>
    <row r="48" spans="3:35" x14ac:dyDescent="0.15">
      <c r="E48" s="79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1"/>
      <c r="AI48" s="52"/>
    </row>
    <row r="49" spans="2:35" x14ac:dyDescent="0.15"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52"/>
    </row>
    <row r="50" spans="2:35" x14ac:dyDescent="0.15"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  <c r="AI50" s="52"/>
    </row>
    <row r="51" spans="2:35" x14ac:dyDescent="0.15">
      <c r="D51" t="s">
        <v>71</v>
      </c>
      <c r="E51" s="69"/>
      <c r="F51" s="52"/>
      <c r="G51" s="52"/>
      <c r="H51" s="52"/>
      <c r="I51" s="52"/>
      <c r="J51" s="52"/>
      <c r="K51" s="52"/>
      <c r="L51" s="72"/>
      <c r="M51" s="72"/>
      <c r="N51" s="72"/>
      <c r="O51" s="72"/>
      <c r="P51" s="72"/>
      <c r="Q51" s="7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</row>
    <row r="52" spans="2:35" x14ac:dyDescent="0.15">
      <c r="E52" s="69"/>
      <c r="F52" s="52"/>
      <c r="G52" s="52"/>
      <c r="H52" s="52"/>
      <c r="I52" s="52"/>
      <c r="J52" s="52"/>
      <c r="K52" s="52"/>
      <c r="L52" s="72"/>
      <c r="M52" s="72"/>
      <c r="N52" s="72"/>
      <c r="O52" s="72"/>
      <c r="P52" s="72"/>
      <c r="Q52" s="7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</row>
    <row r="53" spans="2:35" x14ac:dyDescent="0.15">
      <c r="E53" s="36" t="s">
        <v>72</v>
      </c>
      <c r="F53" s="13"/>
      <c r="G53" s="13"/>
      <c r="H53" s="13"/>
      <c r="I53" s="13"/>
      <c r="J53" s="13"/>
      <c r="K53" s="13"/>
      <c r="L53" s="70"/>
      <c r="M53" s="70"/>
      <c r="N53" s="70"/>
      <c r="O53" s="70"/>
      <c r="P53" s="72"/>
      <c r="Q53" s="7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</row>
    <row r="54" spans="2:35" x14ac:dyDescent="0.15">
      <c r="E54" s="69"/>
      <c r="F54" s="13"/>
      <c r="G54" s="13"/>
      <c r="H54" s="13"/>
      <c r="I54" s="13"/>
      <c r="J54" s="13"/>
      <c r="K54" s="13"/>
      <c r="L54" s="70"/>
      <c r="M54" s="70"/>
      <c r="N54" s="70"/>
      <c r="O54" s="70"/>
      <c r="P54" s="72"/>
      <c r="Q54" s="7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</row>
    <row r="55" spans="2:35" x14ac:dyDescent="0.15">
      <c r="E55" s="72"/>
      <c r="F55" s="52"/>
      <c r="G55" s="52"/>
      <c r="H55" s="52"/>
      <c r="I55" s="52"/>
      <c r="J55" s="52"/>
      <c r="K55" s="52"/>
      <c r="L55" s="72"/>
      <c r="M55" s="72"/>
      <c r="N55" s="72"/>
      <c r="O55" s="72"/>
      <c r="P55" s="72"/>
      <c r="Q55" s="7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</row>
    <row r="56" spans="2:35" x14ac:dyDescent="0.15">
      <c r="E56" s="163" t="s">
        <v>73</v>
      </c>
      <c r="F56" s="112"/>
      <c r="G56" s="113"/>
      <c r="H56" s="171"/>
      <c r="I56" s="112"/>
      <c r="J56" s="112"/>
      <c r="K56" s="112"/>
      <c r="L56" s="113"/>
      <c r="M56" s="163" t="s">
        <v>74</v>
      </c>
      <c r="N56" s="112"/>
      <c r="O56" s="113"/>
      <c r="P56" s="171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3"/>
      <c r="AH56" s="52"/>
      <c r="AI56" s="52"/>
    </row>
    <row r="57" spans="2:35" x14ac:dyDescent="0.15">
      <c r="E57" s="69"/>
      <c r="F57" s="13"/>
      <c r="G57" s="13"/>
      <c r="H57" s="13"/>
      <c r="I57" s="13"/>
      <c r="J57" s="13"/>
      <c r="K57" s="13"/>
      <c r="L57" s="70"/>
      <c r="M57" s="70"/>
      <c r="N57" s="70"/>
      <c r="O57" s="70"/>
      <c r="P57" s="70"/>
      <c r="Q57" s="7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</row>
    <row r="58" spans="2:35" x14ac:dyDescent="0.15">
      <c r="B58" s="52"/>
      <c r="C58" s="52"/>
      <c r="D58" s="52"/>
      <c r="E58" s="2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6"/>
      <c r="AB58" s="56"/>
      <c r="AC58" s="56"/>
      <c r="AD58" s="56"/>
      <c r="AE58" s="56"/>
      <c r="AF58" s="56"/>
      <c r="AG58" s="56"/>
      <c r="AH58" s="52"/>
      <c r="AI58" s="52"/>
    </row>
    <row r="59" spans="2:35" x14ac:dyDescent="0.15">
      <c r="C59" t="s">
        <v>29</v>
      </c>
      <c r="E59"/>
    </row>
    <row r="60" spans="2:35" x14ac:dyDescent="0.15">
      <c r="D60" t="s">
        <v>75</v>
      </c>
    </row>
    <row r="89" spans="2:70" s="101" customFormat="1" x14ac:dyDescent="0.15">
      <c r="B89" s="103"/>
      <c r="C89" t="s">
        <v>30</v>
      </c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N89" s="98"/>
      <c r="BR89" s="98"/>
    </row>
    <row r="90" spans="2:70" x14ac:dyDescent="0.15">
      <c r="D90" t="s">
        <v>76</v>
      </c>
    </row>
    <row r="92" spans="2:70" x14ac:dyDescent="0.15">
      <c r="E92" s="153" t="s">
        <v>11</v>
      </c>
      <c r="F92" s="153" t="s">
        <v>77</v>
      </c>
      <c r="G92" s="126"/>
      <c r="H92" s="126"/>
      <c r="I92" s="126"/>
      <c r="J92" s="127"/>
      <c r="K92" s="153" t="s">
        <v>78</v>
      </c>
      <c r="L92" s="112"/>
      <c r="M92" s="112"/>
      <c r="N92" s="112"/>
      <c r="O92" s="112"/>
      <c r="P92" s="112"/>
      <c r="Q92" s="112"/>
      <c r="R92" s="112"/>
      <c r="S92" s="112"/>
      <c r="T92" s="112"/>
      <c r="U92" s="113"/>
      <c r="V92" s="153" t="s">
        <v>79</v>
      </c>
      <c r="W92" s="126"/>
      <c r="X92" s="126"/>
      <c r="Y92" s="126"/>
      <c r="Z92" s="126"/>
      <c r="AA92" s="126"/>
      <c r="AB92" s="126"/>
      <c r="AC92" s="127"/>
      <c r="AD92" s="153" t="s">
        <v>59</v>
      </c>
      <c r="AE92" s="126"/>
      <c r="AF92" s="126"/>
      <c r="AG92" s="126"/>
      <c r="AH92" s="127"/>
    </row>
    <row r="93" spans="2:70" x14ac:dyDescent="0.15">
      <c r="E93" s="152"/>
      <c r="F93" s="137"/>
      <c r="G93" s="138"/>
      <c r="H93" s="138"/>
      <c r="I93" s="138"/>
      <c r="J93" s="139"/>
      <c r="K93" s="153" t="s">
        <v>80</v>
      </c>
      <c r="L93" s="112"/>
      <c r="M93" s="112"/>
      <c r="N93" s="112"/>
      <c r="O93" s="112"/>
      <c r="P93" s="113"/>
      <c r="Q93" s="153" t="s">
        <v>77</v>
      </c>
      <c r="R93" s="112"/>
      <c r="S93" s="112"/>
      <c r="T93" s="112"/>
      <c r="U93" s="113"/>
      <c r="V93" s="137"/>
      <c r="W93" s="138"/>
      <c r="X93" s="138"/>
      <c r="Y93" s="138"/>
      <c r="Z93" s="138"/>
      <c r="AA93" s="138"/>
      <c r="AB93" s="138"/>
      <c r="AC93" s="139"/>
      <c r="AD93" s="137"/>
      <c r="AE93" s="138"/>
      <c r="AF93" s="138"/>
      <c r="AG93" s="138"/>
      <c r="AH93" s="139"/>
    </row>
    <row r="94" spans="2:70" x14ac:dyDescent="0.15">
      <c r="E94" s="100">
        <v>1</v>
      </c>
      <c r="F94" s="157"/>
      <c r="G94" s="112"/>
      <c r="H94" s="112"/>
      <c r="I94" s="112"/>
      <c r="J94" s="113"/>
      <c r="K94" s="157"/>
      <c r="L94" s="112"/>
      <c r="M94" s="112"/>
      <c r="N94" s="112"/>
      <c r="O94" s="112"/>
      <c r="P94" s="113"/>
      <c r="Q94" s="157"/>
      <c r="R94" s="112"/>
      <c r="S94" s="112"/>
      <c r="T94" s="112"/>
      <c r="U94" s="113"/>
      <c r="V94" s="157"/>
      <c r="W94" s="112"/>
      <c r="X94" s="112"/>
      <c r="Y94" s="112"/>
      <c r="Z94" s="112"/>
      <c r="AA94" s="112"/>
      <c r="AB94" s="112"/>
      <c r="AC94" s="113"/>
      <c r="AD94" s="111"/>
      <c r="AE94" s="112"/>
      <c r="AF94" s="112"/>
      <c r="AG94" s="112"/>
      <c r="AH94" s="113"/>
    </row>
    <row r="95" spans="2:70" x14ac:dyDescent="0.15">
      <c r="E95" s="100">
        <v>2</v>
      </c>
      <c r="F95" s="157"/>
      <c r="G95" s="112"/>
      <c r="H95" s="112"/>
      <c r="I95" s="112"/>
      <c r="J95" s="113"/>
      <c r="K95" s="157"/>
      <c r="L95" s="112"/>
      <c r="M95" s="112"/>
      <c r="N95" s="112"/>
      <c r="O95" s="112"/>
      <c r="P95" s="113"/>
      <c r="Q95" s="157"/>
      <c r="R95" s="112"/>
      <c r="S95" s="112"/>
      <c r="T95" s="112"/>
      <c r="U95" s="113"/>
      <c r="V95" s="157"/>
      <c r="W95" s="112"/>
      <c r="X95" s="112"/>
      <c r="Y95" s="112"/>
      <c r="Z95" s="112"/>
      <c r="AA95" s="112"/>
      <c r="AB95" s="112"/>
      <c r="AC95" s="113"/>
      <c r="AD95" s="111"/>
      <c r="AE95" s="112"/>
      <c r="AF95" s="112"/>
      <c r="AG95" s="112"/>
      <c r="AH95" s="113"/>
    </row>
    <row r="96" spans="2:70" x14ac:dyDescent="0.15">
      <c r="E96" s="100">
        <v>3</v>
      </c>
      <c r="F96" s="157"/>
      <c r="G96" s="112"/>
      <c r="H96" s="112"/>
      <c r="I96" s="112"/>
      <c r="J96" s="113"/>
      <c r="K96" s="157"/>
      <c r="L96" s="112"/>
      <c r="M96" s="112"/>
      <c r="N96" s="112"/>
      <c r="O96" s="112"/>
      <c r="P96" s="113"/>
      <c r="Q96" s="157"/>
      <c r="R96" s="112"/>
      <c r="S96" s="112"/>
      <c r="T96" s="112"/>
      <c r="U96" s="113"/>
      <c r="V96" s="157"/>
      <c r="W96" s="112"/>
      <c r="X96" s="112"/>
      <c r="Y96" s="112"/>
      <c r="Z96" s="112"/>
      <c r="AA96" s="112"/>
      <c r="AB96" s="112"/>
      <c r="AC96" s="113"/>
      <c r="AD96" s="111"/>
      <c r="AE96" s="112"/>
      <c r="AF96" s="112"/>
      <c r="AG96" s="112"/>
      <c r="AH96" s="113"/>
    </row>
    <row r="99" spans="4:35" x14ac:dyDescent="0.15">
      <c r="D99" t="s">
        <v>81</v>
      </c>
    </row>
    <row r="101" spans="4:35" x14ac:dyDescent="0.15">
      <c r="E101" s="154" t="s">
        <v>82</v>
      </c>
      <c r="F101" s="112"/>
      <c r="G101" s="112"/>
      <c r="H101" s="112"/>
      <c r="I101" s="112"/>
      <c r="J101" s="113"/>
      <c r="K101" s="167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  <c r="AH101" s="113"/>
    </row>
    <row r="102" spans="4:35" x14ac:dyDescent="0.15">
      <c r="E102" s="153" t="s">
        <v>11</v>
      </c>
      <c r="F102" s="153" t="s">
        <v>77</v>
      </c>
      <c r="G102" s="126"/>
      <c r="H102" s="126"/>
      <c r="I102" s="126"/>
      <c r="J102" s="127"/>
      <c r="K102" s="153" t="s">
        <v>78</v>
      </c>
      <c r="L102" s="112"/>
      <c r="M102" s="112"/>
      <c r="N102" s="112"/>
      <c r="O102" s="112"/>
      <c r="P102" s="112"/>
      <c r="Q102" s="112"/>
      <c r="R102" s="112"/>
      <c r="S102" s="112"/>
      <c r="T102" s="112"/>
      <c r="U102" s="113"/>
      <c r="V102" s="153" t="s">
        <v>79</v>
      </c>
      <c r="W102" s="126"/>
      <c r="X102" s="126"/>
      <c r="Y102" s="126"/>
      <c r="Z102" s="126"/>
      <c r="AA102" s="126"/>
      <c r="AB102" s="126"/>
      <c r="AC102" s="127"/>
      <c r="AD102" s="153" t="s">
        <v>59</v>
      </c>
      <c r="AE102" s="126"/>
      <c r="AF102" s="126"/>
      <c r="AG102" s="126"/>
      <c r="AH102" s="127"/>
      <c r="AI102" s="32"/>
    </row>
    <row r="103" spans="4:35" x14ac:dyDescent="0.15">
      <c r="E103" s="152"/>
      <c r="F103" s="137"/>
      <c r="G103" s="138"/>
      <c r="H103" s="138"/>
      <c r="I103" s="138"/>
      <c r="J103" s="139"/>
      <c r="K103" s="153" t="s">
        <v>80</v>
      </c>
      <c r="L103" s="112"/>
      <c r="M103" s="112"/>
      <c r="N103" s="112"/>
      <c r="O103" s="112"/>
      <c r="P103" s="113"/>
      <c r="Q103" s="153" t="s">
        <v>77</v>
      </c>
      <c r="R103" s="112"/>
      <c r="S103" s="112"/>
      <c r="T103" s="112"/>
      <c r="U103" s="113"/>
      <c r="V103" s="137"/>
      <c r="W103" s="138"/>
      <c r="X103" s="138"/>
      <c r="Y103" s="138"/>
      <c r="Z103" s="138"/>
      <c r="AA103" s="138"/>
      <c r="AB103" s="138"/>
      <c r="AC103" s="139"/>
      <c r="AD103" s="137"/>
      <c r="AE103" s="138"/>
      <c r="AF103" s="138"/>
      <c r="AG103" s="138"/>
      <c r="AH103" s="139"/>
      <c r="AI103" s="31"/>
    </row>
    <row r="104" spans="4:35" x14ac:dyDescent="0.15">
      <c r="E104" s="100">
        <v>1</v>
      </c>
      <c r="F104" s="157"/>
      <c r="G104" s="112"/>
      <c r="H104" s="112"/>
      <c r="I104" s="112"/>
      <c r="J104" s="113"/>
      <c r="K104" s="157"/>
      <c r="L104" s="112"/>
      <c r="M104" s="112"/>
      <c r="N104" s="112"/>
      <c r="O104" s="112"/>
      <c r="P104" s="113"/>
      <c r="Q104" s="157"/>
      <c r="R104" s="112"/>
      <c r="S104" s="112"/>
      <c r="T104" s="112"/>
      <c r="U104" s="113"/>
      <c r="V104" s="157"/>
      <c r="W104" s="112"/>
      <c r="X104" s="112"/>
      <c r="Y104" s="112"/>
      <c r="Z104" s="112"/>
      <c r="AA104" s="112"/>
      <c r="AB104" s="112"/>
      <c r="AC104" s="113"/>
      <c r="AD104" s="111"/>
      <c r="AE104" s="112"/>
      <c r="AF104" s="112"/>
      <c r="AG104" s="112"/>
      <c r="AH104" s="113"/>
      <c r="AI104" s="31"/>
    </row>
    <row r="105" spans="4:35" ht="11.25" customHeight="1" x14ac:dyDescent="0.15">
      <c r="E105" s="100">
        <v>2</v>
      </c>
      <c r="F105" s="157"/>
      <c r="G105" s="112"/>
      <c r="H105" s="112"/>
      <c r="I105" s="112"/>
      <c r="J105" s="113"/>
      <c r="K105" s="157"/>
      <c r="L105" s="112"/>
      <c r="M105" s="112"/>
      <c r="N105" s="112"/>
      <c r="O105" s="112"/>
      <c r="P105" s="113"/>
      <c r="Q105" s="157"/>
      <c r="R105" s="112"/>
      <c r="S105" s="112"/>
      <c r="T105" s="112"/>
      <c r="U105" s="113"/>
      <c r="V105" s="157"/>
      <c r="W105" s="112"/>
      <c r="X105" s="112"/>
      <c r="Y105" s="112"/>
      <c r="Z105" s="112"/>
      <c r="AA105" s="112"/>
      <c r="AB105" s="112"/>
      <c r="AC105" s="113"/>
      <c r="AD105" s="111"/>
      <c r="AE105" s="112"/>
      <c r="AF105" s="112"/>
      <c r="AG105" s="112"/>
      <c r="AH105" s="113"/>
      <c r="AI105" s="29"/>
    </row>
    <row r="106" spans="4:35" x14ac:dyDescent="0.15">
      <c r="E106" s="100">
        <v>3</v>
      </c>
      <c r="F106" s="157"/>
      <c r="G106" s="112"/>
      <c r="H106" s="112"/>
      <c r="I106" s="112"/>
      <c r="J106" s="113"/>
      <c r="K106" s="157"/>
      <c r="L106" s="112"/>
      <c r="M106" s="112"/>
      <c r="N106" s="112"/>
      <c r="O106" s="112"/>
      <c r="P106" s="113"/>
      <c r="Q106" s="157"/>
      <c r="R106" s="112"/>
      <c r="S106" s="112"/>
      <c r="T106" s="112"/>
      <c r="U106" s="113"/>
      <c r="V106" s="157"/>
      <c r="W106" s="112"/>
      <c r="X106" s="112"/>
      <c r="Y106" s="112"/>
      <c r="Z106" s="112"/>
      <c r="AA106" s="112"/>
      <c r="AB106" s="112"/>
      <c r="AC106" s="113"/>
      <c r="AD106" s="111"/>
      <c r="AE106" s="112"/>
      <c r="AF106" s="112"/>
      <c r="AG106" s="112"/>
      <c r="AH106" s="113"/>
      <c r="AI106" s="29"/>
    </row>
    <row r="107" spans="4:35" x14ac:dyDescent="0.15">
      <c r="AI107" s="52"/>
    </row>
    <row r="108" spans="4:35" x14ac:dyDescent="0.15">
      <c r="AI108" s="52"/>
    </row>
    <row r="109" spans="4:35" x14ac:dyDescent="0.15">
      <c r="D109" t="s">
        <v>83</v>
      </c>
    </row>
    <row r="111" spans="4:35" x14ac:dyDescent="0.15">
      <c r="E111" t="s">
        <v>84</v>
      </c>
    </row>
    <row r="113" spans="3:34" x14ac:dyDescent="0.15">
      <c r="F113" s="36" t="s">
        <v>72</v>
      </c>
    </row>
    <row r="114" spans="3:34" x14ac:dyDescent="0.15">
      <c r="F114" s="36"/>
    </row>
    <row r="115" spans="3:34" x14ac:dyDescent="0.15">
      <c r="F115" s="163" t="s">
        <v>73</v>
      </c>
      <c r="G115" s="112"/>
      <c r="H115" s="113"/>
      <c r="I115" s="171"/>
      <c r="J115" s="112"/>
      <c r="K115" s="112"/>
      <c r="L115" s="112"/>
      <c r="M115" s="113"/>
      <c r="N115" s="163" t="s">
        <v>74</v>
      </c>
      <c r="O115" s="112"/>
      <c r="P115" s="113"/>
      <c r="Q115" s="171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  <c r="AH115" s="113"/>
    </row>
    <row r="118" spans="3:34" x14ac:dyDescent="0.15">
      <c r="C118" s="12"/>
      <c r="D118" s="12"/>
      <c r="E118" t="s">
        <v>85</v>
      </c>
      <c r="F118" s="12"/>
      <c r="G118" s="12"/>
      <c r="H118" s="12"/>
      <c r="I118" s="52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4"/>
      <c r="Z118" s="14"/>
      <c r="AA118" s="14"/>
      <c r="AB118" s="14"/>
      <c r="AC118" s="14"/>
      <c r="AD118" s="14"/>
      <c r="AE118" s="47"/>
      <c r="AF118" s="47"/>
      <c r="AG118" s="47"/>
      <c r="AH118" s="47"/>
    </row>
    <row r="119" spans="3:34" x14ac:dyDescent="0.15">
      <c r="C119" s="12"/>
      <c r="D119" s="12"/>
      <c r="F119" s="12"/>
      <c r="G119" s="12"/>
      <c r="H119" s="12"/>
      <c r="I119" s="52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4"/>
      <c r="Z119" s="14"/>
      <c r="AA119" s="14"/>
      <c r="AB119" s="14"/>
      <c r="AC119" s="14"/>
      <c r="AD119" s="14"/>
      <c r="AE119" s="47"/>
      <c r="AF119" s="47"/>
      <c r="AG119" s="47"/>
      <c r="AH119" s="47"/>
    </row>
    <row r="120" spans="3:34" x14ac:dyDescent="0.15">
      <c r="C120" s="12"/>
      <c r="D120" s="12"/>
      <c r="F120" s="163" t="s">
        <v>11</v>
      </c>
      <c r="G120" s="163" t="s">
        <v>86</v>
      </c>
      <c r="H120" s="126"/>
      <c r="I120" s="126"/>
      <c r="J120" s="127"/>
      <c r="K120" s="163" t="s">
        <v>77</v>
      </c>
      <c r="L120" s="126"/>
      <c r="M120" s="126"/>
      <c r="N120" s="127"/>
      <c r="O120" s="153" t="s">
        <v>78</v>
      </c>
      <c r="P120" s="112"/>
      <c r="Q120" s="112"/>
      <c r="R120" s="112"/>
      <c r="S120" s="112"/>
      <c r="T120" s="112"/>
      <c r="U120" s="112"/>
      <c r="V120" s="112"/>
      <c r="W120" s="113"/>
      <c r="X120" s="163" t="s">
        <v>79</v>
      </c>
      <c r="Y120" s="126"/>
      <c r="Z120" s="126"/>
      <c r="AA120" s="126"/>
      <c r="AB120" s="126"/>
      <c r="AC120" s="126"/>
      <c r="AD120" s="127"/>
      <c r="AE120" s="163" t="s">
        <v>59</v>
      </c>
      <c r="AF120" s="126"/>
      <c r="AG120" s="126"/>
      <c r="AH120" s="127"/>
    </row>
    <row r="121" spans="3:34" x14ac:dyDescent="0.15">
      <c r="C121" s="12"/>
      <c r="D121" s="12"/>
      <c r="F121" s="152"/>
      <c r="G121" s="137"/>
      <c r="H121" s="138"/>
      <c r="I121" s="138"/>
      <c r="J121" s="139"/>
      <c r="K121" s="137"/>
      <c r="L121" s="138"/>
      <c r="M121" s="138"/>
      <c r="N121" s="139"/>
      <c r="O121" s="147" t="s">
        <v>87</v>
      </c>
      <c r="P121" s="112"/>
      <c r="Q121" s="112"/>
      <c r="R121" s="112"/>
      <c r="S121" s="113"/>
      <c r="T121" s="155" t="s">
        <v>77</v>
      </c>
      <c r="U121" s="112"/>
      <c r="V121" s="112"/>
      <c r="W121" s="113"/>
      <c r="X121" s="137"/>
      <c r="Y121" s="138"/>
      <c r="Z121" s="138"/>
      <c r="AA121" s="138"/>
      <c r="AB121" s="138"/>
      <c r="AC121" s="138"/>
      <c r="AD121" s="139"/>
      <c r="AE121" s="137"/>
      <c r="AF121" s="138"/>
      <c r="AG121" s="138"/>
      <c r="AH121" s="139"/>
    </row>
    <row r="122" spans="3:34" x14ac:dyDescent="0.15">
      <c r="C122" s="12"/>
      <c r="D122" s="12"/>
      <c r="F122" s="73">
        <v>1</v>
      </c>
      <c r="G122" s="160"/>
      <c r="H122" s="112"/>
      <c r="I122" s="112"/>
      <c r="J122" s="113"/>
      <c r="K122" s="160"/>
      <c r="L122" s="112"/>
      <c r="M122" s="112"/>
      <c r="N122" s="113"/>
      <c r="O122" s="164"/>
      <c r="P122" s="112"/>
      <c r="Q122" s="112"/>
      <c r="R122" s="112"/>
      <c r="S122" s="112"/>
      <c r="T122" s="167"/>
      <c r="U122" s="112"/>
      <c r="V122" s="112"/>
      <c r="W122" s="113"/>
      <c r="X122" s="160"/>
      <c r="Y122" s="112"/>
      <c r="Z122" s="112"/>
      <c r="AA122" s="112"/>
      <c r="AB122" s="112"/>
      <c r="AC122" s="112"/>
      <c r="AD122" s="113"/>
      <c r="AE122" s="160"/>
      <c r="AF122" s="112"/>
      <c r="AG122" s="112"/>
      <c r="AH122" s="113"/>
    </row>
    <row r="123" spans="3:34" x14ac:dyDescent="0.15">
      <c r="C123" s="12"/>
      <c r="D123" s="12"/>
      <c r="F123" s="73">
        <v>2</v>
      </c>
      <c r="G123" s="160"/>
      <c r="H123" s="112"/>
      <c r="I123" s="112"/>
      <c r="J123" s="113"/>
      <c r="K123" s="160"/>
      <c r="L123" s="112"/>
      <c r="M123" s="112"/>
      <c r="N123" s="113"/>
      <c r="O123" s="164"/>
      <c r="P123" s="112"/>
      <c r="Q123" s="112"/>
      <c r="R123" s="112"/>
      <c r="S123" s="112"/>
      <c r="T123" s="167"/>
      <c r="U123" s="112"/>
      <c r="V123" s="112"/>
      <c r="W123" s="113"/>
      <c r="X123" s="160"/>
      <c r="Y123" s="112"/>
      <c r="Z123" s="112"/>
      <c r="AA123" s="112"/>
      <c r="AB123" s="112"/>
      <c r="AC123" s="112"/>
      <c r="AD123" s="113"/>
      <c r="AE123" s="160"/>
      <c r="AF123" s="112"/>
      <c r="AG123" s="112"/>
      <c r="AH123" s="113"/>
    </row>
    <row r="124" spans="3:34" x14ac:dyDescent="0.15">
      <c r="C124" s="12"/>
      <c r="D124" s="12"/>
      <c r="F124" s="73">
        <v>3</v>
      </c>
      <c r="G124" s="160"/>
      <c r="H124" s="112"/>
      <c r="I124" s="112"/>
      <c r="J124" s="113"/>
      <c r="K124" s="160"/>
      <c r="L124" s="112"/>
      <c r="M124" s="112"/>
      <c r="N124" s="113"/>
      <c r="O124" s="164"/>
      <c r="P124" s="112"/>
      <c r="Q124" s="112"/>
      <c r="R124" s="112"/>
      <c r="S124" s="112"/>
      <c r="T124" s="167"/>
      <c r="U124" s="112"/>
      <c r="V124" s="112"/>
      <c r="W124" s="113"/>
      <c r="X124" s="160"/>
      <c r="Y124" s="112"/>
      <c r="Z124" s="112"/>
      <c r="AA124" s="112"/>
      <c r="AB124" s="112"/>
      <c r="AC124" s="112"/>
      <c r="AD124" s="113"/>
      <c r="AE124" s="160"/>
      <c r="AF124" s="112"/>
      <c r="AG124" s="112"/>
      <c r="AH124" s="113"/>
    </row>
    <row r="125" spans="3:34" x14ac:dyDescent="0.15">
      <c r="C125" s="12"/>
      <c r="D125" s="12"/>
      <c r="F125" s="12"/>
      <c r="G125" s="12"/>
      <c r="H125" s="12"/>
      <c r="I125" s="52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4"/>
      <c r="Z125" s="14"/>
      <c r="AA125" s="14"/>
      <c r="AB125" s="14"/>
      <c r="AC125" s="14"/>
      <c r="AD125" s="14"/>
      <c r="AE125" s="47"/>
      <c r="AF125" s="47"/>
      <c r="AG125" s="47"/>
      <c r="AH125" s="47"/>
    </row>
  </sheetData>
  <mergeCells count="171">
    <mergeCell ref="K35:N35"/>
    <mergeCell ref="F120:F121"/>
    <mergeCell ref="W44:AH44"/>
    <mergeCell ref="P31:U31"/>
    <mergeCell ref="A1:D1"/>
    <mergeCell ref="K101:AH101"/>
    <mergeCell ref="E92:E93"/>
    <mergeCell ref="K94:P94"/>
    <mergeCell ref="D10:H10"/>
    <mergeCell ref="X122:AD122"/>
    <mergeCell ref="S1:Z3"/>
    <mergeCell ref="L16:P16"/>
    <mergeCell ref="I9:AH9"/>
    <mergeCell ref="V94:AC94"/>
    <mergeCell ref="V106:AC106"/>
    <mergeCell ref="H56:L56"/>
    <mergeCell ref="F115:H115"/>
    <mergeCell ref="V96:AC96"/>
    <mergeCell ref="V105:AC105"/>
    <mergeCell ref="E26:G26"/>
    <mergeCell ref="Q94:U94"/>
    <mergeCell ref="K33:N33"/>
    <mergeCell ref="R45:V45"/>
    <mergeCell ref="K23:AH23"/>
    <mergeCell ref="K120:N121"/>
    <mergeCell ref="Q17:AH17"/>
    <mergeCell ref="R42:V42"/>
    <mergeCell ref="E34:J34"/>
    <mergeCell ref="AC2:AF2"/>
    <mergeCell ref="X123:AD123"/>
    <mergeCell ref="Q15:AH15"/>
    <mergeCell ref="AG3:AI3"/>
    <mergeCell ref="Q93:U93"/>
    <mergeCell ref="V31:AH32"/>
    <mergeCell ref="F106:J106"/>
    <mergeCell ref="H24:J24"/>
    <mergeCell ref="T122:W122"/>
    <mergeCell ref="G122:J122"/>
    <mergeCell ref="AD104:AH104"/>
    <mergeCell ref="K93:P93"/>
    <mergeCell ref="AC3:AF3"/>
    <mergeCell ref="E18:J18"/>
    <mergeCell ref="D9:H9"/>
    <mergeCell ref="Q105:U105"/>
    <mergeCell ref="V104:AC104"/>
    <mergeCell ref="K104:P104"/>
    <mergeCell ref="E31:J32"/>
    <mergeCell ref="AA2:AB2"/>
    <mergeCell ref="L46:P46"/>
    <mergeCell ref="O1:R3"/>
    <mergeCell ref="A2:D2"/>
    <mergeCell ref="AE124:AH124"/>
    <mergeCell ref="T35:U35"/>
    <mergeCell ref="AK16:AP16"/>
    <mergeCell ref="L15:P15"/>
    <mergeCell ref="E101:J101"/>
    <mergeCell ref="I115:M115"/>
    <mergeCell ref="Q103:U103"/>
    <mergeCell ref="L18:P18"/>
    <mergeCell ref="K31:N32"/>
    <mergeCell ref="V33:AH33"/>
    <mergeCell ref="O31:O32"/>
    <mergeCell ref="AD105:AH105"/>
    <mergeCell ref="K103:P103"/>
    <mergeCell ref="T124:W124"/>
    <mergeCell ref="M56:O56"/>
    <mergeCell ref="K122:N122"/>
    <mergeCell ref="V35:AH35"/>
    <mergeCell ref="E56:G56"/>
    <mergeCell ref="E41:AH41"/>
    <mergeCell ref="F44:K44"/>
    <mergeCell ref="V92:AC93"/>
    <mergeCell ref="V34:AH34"/>
    <mergeCell ref="E24:G24"/>
    <mergeCell ref="AK15:AP15"/>
    <mergeCell ref="AC1:AF1"/>
    <mergeCell ref="G120:J121"/>
    <mergeCell ref="E2:N2"/>
    <mergeCell ref="P56:AG56"/>
    <mergeCell ref="K26:AH26"/>
    <mergeCell ref="L42:P43"/>
    <mergeCell ref="Q96:U96"/>
    <mergeCell ref="K106:P106"/>
    <mergeCell ref="K92:U92"/>
    <mergeCell ref="E42:E43"/>
    <mergeCell ref="Q42:Q43"/>
    <mergeCell ref="K105:P105"/>
    <mergeCell ref="AD94:AH94"/>
    <mergeCell ref="F46:K46"/>
    <mergeCell ref="F95:J95"/>
    <mergeCell ref="F104:J104"/>
    <mergeCell ref="W46:AH46"/>
    <mergeCell ref="Q104:U104"/>
    <mergeCell ref="W45:AH45"/>
    <mergeCell ref="AD96:AH96"/>
    <mergeCell ref="AG2:AI2"/>
    <mergeCell ref="W42:AH43"/>
    <mergeCell ref="T33:U33"/>
    <mergeCell ref="Q106:U106"/>
    <mergeCell ref="E1:N1"/>
    <mergeCell ref="Q16:AH16"/>
    <mergeCell ref="D8:H8"/>
    <mergeCell ref="E47:AH47"/>
    <mergeCell ref="R43:V43"/>
    <mergeCell ref="T123:W123"/>
    <mergeCell ref="E23:G23"/>
    <mergeCell ref="O122:S122"/>
    <mergeCell ref="T34:U34"/>
    <mergeCell ref="D31:D32"/>
    <mergeCell ref="V95:AC95"/>
    <mergeCell ref="Q18:AH18"/>
    <mergeCell ref="AD106:AH106"/>
    <mergeCell ref="N115:P115"/>
    <mergeCell ref="X120:AD121"/>
    <mergeCell ref="L17:P17"/>
    <mergeCell ref="R44:V44"/>
    <mergeCell ref="F45:K45"/>
    <mergeCell ref="A3:D3"/>
    <mergeCell ref="AG1:AI1"/>
    <mergeCell ref="Q95:U95"/>
    <mergeCell ref="K95:P95"/>
    <mergeCell ref="Q115:AH115"/>
    <mergeCell ref="K24:AH24"/>
    <mergeCell ref="X124:AD124"/>
    <mergeCell ref="T32:U32"/>
    <mergeCell ref="AA1:AB1"/>
    <mergeCell ref="K96:P96"/>
    <mergeCell ref="E15:J15"/>
    <mergeCell ref="AE120:AH121"/>
    <mergeCell ref="F92:J93"/>
    <mergeCell ref="K124:N124"/>
    <mergeCell ref="K34:N34"/>
    <mergeCell ref="E3:N3"/>
    <mergeCell ref="F102:J103"/>
    <mergeCell ref="F94:J94"/>
    <mergeCell ref="E25:G25"/>
    <mergeCell ref="O124:S124"/>
    <mergeCell ref="L45:P45"/>
    <mergeCell ref="K123:N123"/>
    <mergeCell ref="K102:U102"/>
    <mergeCell ref="E16:J16"/>
    <mergeCell ref="H23:J23"/>
    <mergeCell ref="AD102:AH103"/>
    <mergeCell ref="AD95:AH95"/>
    <mergeCell ref="O123:S123"/>
    <mergeCell ref="L44:P44"/>
    <mergeCell ref="G124:J124"/>
    <mergeCell ref="AK17:AP17"/>
    <mergeCell ref="AD92:AH93"/>
    <mergeCell ref="F96:J96"/>
    <mergeCell ref="F42:K43"/>
    <mergeCell ref="F105:J105"/>
    <mergeCell ref="E33:J33"/>
    <mergeCell ref="AA3:AB3"/>
    <mergeCell ref="AE123:AH123"/>
    <mergeCell ref="I8:AH8"/>
    <mergeCell ref="K25:AH25"/>
    <mergeCell ref="O120:W120"/>
    <mergeCell ref="E17:J17"/>
    <mergeCell ref="E102:E103"/>
    <mergeCell ref="E35:J35"/>
    <mergeCell ref="V102:AC103"/>
    <mergeCell ref="H25:J25"/>
    <mergeCell ref="I10:AH10"/>
    <mergeCell ref="T121:W121"/>
    <mergeCell ref="H26:J26"/>
    <mergeCell ref="AE122:AH122"/>
    <mergeCell ref="R46:V46"/>
    <mergeCell ref="O121:S121"/>
    <mergeCell ref="AK18:AP18"/>
    <mergeCell ref="G123:J123"/>
  </mergeCells>
  <phoneticPr fontId="11"/>
  <dataValidations count="3">
    <dataValidation type="list" allowBlank="1" showInputMessage="1" showErrorMessage="1" sqref="O33:O35" xr:uid="{00000000-0002-0000-0500-000000000000}">
      <formula1>"I,O"</formula1>
    </dataValidation>
    <dataValidation type="list" allowBlank="1" showInputMessage="1" showErrorMessage="1" sqref="K33:N35" xr:uid="{00000000-0002-0000-0500-000001000000}">
      <formula1>種別一覧</formula1>
    </dataValidation>
    <dataValidation type="list" allowBlank="1" showInputMessage="1" showErrorMessage="1" sqref="K16:K18 P33:U35 Q44:Q46" xr:uid="{00000000-0002-0000-0500-000002000000}">
      <formula1>"○,-"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cellComments="asDisplayed" r:id="rId1"/>
  <headerFooter alignWithMargins="0">
    <oddFooter>&amp;C- &amp;P -</oddFooter>
  </headerFooter>
  <rowBreaks count="3" manualBreakCount="3">
    <brk id="37" max="34" man="1"/>
    <brk id="58" max="34" man="1"/>
    <brk id="88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7"/>
  <sheetViews>
    <sheetView view="pageBreakPreview" zoomScaleNormal="100" zoomScaleSheetLayoutView="100" workbookViewId="0"/>
  </sheetViews>
  <sheetFormatPr defaultRowHeight="11.25" x14ac:dyDescent="0.15"/>
  <cols>
    <col min="1" max="1" width="16.83203125" style="27" bestFit="1" customWidth="1"/>
  </cols>
  <sheetData>
    <row r="1" spans="1:1" x14ac:dyDescent="0.15">
      <c r="A1" s="57" t="s">
        <v>88</v>
      </c>
    </row>
    <row r="2" spans="1:1" x14ac:dyDescent="0.15">
      <c r="A2" s="58" t="s">
        <v>89</v>
      </c>
    </row>
    <row r="3" spans="1:1" x14ac:dyDescent="0.15">
      <c r="A3" s="59" t="s">
        <v>90</v>
      </c>
    </row>
    <row r="4" spans="1:1" x14ac:dyDescent="0.15">
      <c r="A4" s="59" t="s">
        <v>91</v>
      </c>
    </row>
    <row r="5" spans="1:1" x14ac:dyDescent="0.15">
      <c r="A5" s="59" t="s">
        <v>92</v>
      </c>
    </row>
    <row r="6" spans="1:1" x14ac:dyDescent="0.15">
      <c r="A6" s="59" t="s">
        <v>93</v>
      </c>
    </row>
    <row r="7" spans="1:1" x14ac:dyDescent="0.15">
      <c r="A7" s="59" t="s">
        <v>94</v>
      </c>
    </row>
  </sheetData>
  <phoneticPr fontId="11"/>
  <pageMargins left="0.7" right="0.7" top="0.75" bottom="0.75" header="0.3" footer="0.3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11</vt:i4>
      </vt:variant>
    </vt:vector>
  </HeadingPairs>
  <TitlesOfParts>
    <vt:vector size="18" baseType="lpstr">
      <vt:lpstr>表紙</vt:lpstr>
      <vt:lpstr>変更履歴</vt:lpstr>
      <vt:lpstr>目次</vt:lpstr>
      <vt:lpstr>1.1. バッチ取引概要</vt:lpstr>
      <vt:lpstr>1.3. バッチ処理フロー</vt:lpstr>
      <vt:lpstr>2. バッチ処理ID(バッチ処理名)</vt:lpstr>
      <vt:lpstr>データ</vt:lpstr>
      <vt:lpstr>'1.1. バッチ取引概要'!Print_Area</vt:lpstr>
      <vt:lpstr>'1.3. バッチ処理フロー'!Print_Area</vt:lpstr>
      <vt:lpstr>'2. バッチ処理ID(バッチ処理名)'!Print_Area</vt:lpstr>
      <vt:lpstr>データ!Print_Area</vt:lpstr>
      <vt:lpstr>変更履歴!Print_Area</vt:lpstr>
      <vt:lpstr>目次!Print_Area</vt:lpstr>
      <vt:lpstr>'1.1. バッチ取引概要'!Print_Titles</vt:lpstr>
      <vt:lpstr>'1.3. バッチ処理フロー'!Print_Titles</vt:lpstr>
      <vt:lpstr>'2. バッチ処理ID(バッチ処理名)'!Print_Titles</vt:lpstr>
      <vt:lpstr>変更履歴!Print_Titles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永田 道拓</cp:lastModifiedBy>
  <dcterms:created xsi:type="dcterms:W3CDTF">2017-03-23T00:45:12Z</dcterms:created>
  <dcterms:modified xsi:type="dcterms:W3CDTF">2026-08-22T07:36:55Z</dcterms:modified>
</cp:coreProperties>
</file>